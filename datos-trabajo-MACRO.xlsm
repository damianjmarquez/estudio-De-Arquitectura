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royectos-en-github-local\estudio-De-Arquitectura\"/>
    </mc:Choice>
  </mc:AlternateContent>
  <xr:revisionPtr revIDLastSave="0" documentId="13_ncr:1_{E731348D-C88F-46A4-A95A-0B2ED9262F78}" xr6:coauthVersionLast="47" xr6:coauthVersionMax="47" xr10:uidLastSave="{00000000-0000-0000-0000-000000000000}"/>
  <bookViews>
    <workbookView xWindow="-120" yWindow="-120" windowWidth="29040" windowHeight="15720" activeTab="4" xr2:uid="{C6D72AE3-F934-45A4-8F22-496E714A530A}"/>
  </bookViews>
  <sheets>
    <sheet name="datos" sheetId="2" r:id="rId1"/>
    <sheet name="stockmateriales" sheetId="3" r:id="rId2"/>
    <sheet name="DASHBOARD" sheetId="1" r:id="rId3"/>
    <sheet name="ANALISIS" sheetId="4" r:id="rId4"/>
    <sheet name="KPI" sheetId="7" r:id="rId5"/>
    <sheet name="ANALISIS-KPI" sheetId="5" r:id="rId6"/>
  </sheets>
  <definedNames>
    <definedName name="DatosExternos_1" localSheetId="0" hidden="1">datos!$A$1:$M$56</definedName>
    <definedName name="DatosExternos_1" localSheetId="1" hidden="1">stockmateriales!$A$1:$C$16</definedName>
    <definedName name="SegmentaciónDeDatos_año_fecha">#N/A</definedName>
    <definedName name="SegmentaciónDeDatos_mes_fecha">#N/A</definedName>
  </definedNames>
  <calcPr calcId="191029"/>
  <pivotCaches>
    <pivotCache cacheId="4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2" l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B36" i="4"/>
  <c r="B34" i="4"/>
  <c r="B35" i="4"/>
  <c r="B39" i="4"/>
  <c r="B40" i="4"/>
  <c r="B41" i="4"/>
  <c r="B42" i="4"/>
  <c r="B38" i="4"/>
  <c r="A39" i="4"/>
  <c r="E24" i="5" s="1"/>
  <c r="A40" i="4"/>
  <c r="I24" i="5" s="1"/>
  <c r="A41" i="4"/>
  <c r="A30" i="5" s="1"/>
  <c r="A42" i="4"/>
  <c r="E30" i="5" s="1"/>
  <c r="A38" i="4"/>
  <c r="B2" i="4"/>
  <c r="A2" i="4"/>
  <c r="D29" i="4"/>
  <c r="D27" i="4"/>
  <c r="A29" i="4"/>
  <c r="A27" i="4"/>
  <c r="G31" i="5" l="1"/>
  <c r="F31" i="5" s="1"/>
  <c r="C31" i="5"/>
  <c r="B31" i="5" s="1"/>
  <c r="K25" i="5"/>
  <c r="J25" i="5" s="1"/>
  <c r="J28" i="5" s="1"/>
  <c r="C25" i="5"/>
  <c r="B25" i="5" s="1"/>
  <c r="C28" i="5" s="1"/>
  <c r="G25" i="5"/>
  <c r="F25" i="5" s="1"/>
  <c r="C18" i="5"/>
  <c r="B18" i="5" s="1"/>
  <c r="B21" i="5" s="1"/>
  <c r="A4" i="4"/>
  <c r="C34" i="5" l="1"/>
  <c r="B34" i="5"/>
  <c r="F34" i="5"/>
  <c r="G34" i="5"/>
  <c r="C21" i="5"/>
  <c r="K28" i="5"/>
  <c r="G28" i="5"/>
  <c r="F28" i="5"/>
  <c r="B28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8FF2CA-22FE-45C8-BD9A-FF5D7B463676}" keepAlive="1" name="Consulta - datos" description="Conexión a la consulta 'datos' en el libro." type="5" refreshedVersion="7" background="1" saveData="1">
    <dbPr connection="Provider=Microsoft.Mashup.OleDb.1;Data Source=$Workbook$;Location=datos;Extended Properties=&quot;&quot;" command="SELECT * FROM [datos]"/>
  </connection>
  <connection id="2" xr16:uid="{B559724D-72E8-476B-BF55-48C853E105B1}" keepAlive="1" name="Consulta - stockmateriales" description="Conexión a la consulta 'stockmateriales' en el libro." type="5" refreshedVersion="7" background="1" saveData="1">
    <dbPr connection="Provider=Microsoft.Mashup.OleDb.1;Data Source=$Workbook$;Location=stockmateriales;Extended Properties=&quot;&quot;" command="SELECT * FROM [stockmateriales]"/>
  </connection>
</connections>
</file>

<file path=xl/sharedStrings.xml><?xml version="1.0" encoding="utf-8"?>
<sst xmlns="http://schemas.openxmlformats.org/spreadsheetml/2006/main" count="518" uniqueCount="84">
  <si>
    <t>id</t>
  </si>
  <si>
    <t>provincia</t>
  </si>
  <si>
    <t>contratista</t>
  </si>
  <si>
    <t>precio</t>
  </si>
  <si>
    <t>arquitecto</t>
  </si>
  <si>
    <t>fecha comienzo obra</t>
  </si>
  <si>
    <t>material</t>
  </si>
  <si>
    <t>tipo trabajo</t>
  </si>
  <si>
    <t>profecion</t>
  </si>
  <si>
    <t>estado</t>
  </si>
  <si>
    <t>valor tipo</t>
  </si>
  <si>
    <t>Cordoba</t>
  </si>
  <si>
    <t>Natalia</t>
  </si>
  <si>
    <t>Pablo Suarez</t>
  </si>
  <si>
    <t>bloque 20x40</t>
  </si>
  <si>
    <t>inst</t>
  </si>
  <si>
    <t>pintor</t>
  </si>
  <si>
    <t>En curso</t>
  </si>
  <si>
    <t>Rosario</t>
  </si>
  <si>
    <t>Manuel</t>
  </si>
  <si>
    <t>Mariano Soria</t>
  </si>
  <si>
    <t>ladrillo 15x20</t>
  </si>
  <si>
    <t>rinst</t>
  </si>
  <si>
    <t>electrisista</t>
  </si>
  <si>
    <t>Finalizado</t>
  </si>
  <si>
    <t>Esteban</t>
  </si>
  <si>
    <t>Diego Gonzales</t>
  </si>
  <si>
    <t>caño de 1/2 rosca plastico</t>
  </si>
  <si>
    <t>modif</t>
  </si>
  <si>
    <t>ceramista</t>
  </si>
  <si>
    <t>Tucuman</t>
  </si>
  <si>
    <t>Jose</t>
  </si>
  <si>
    <t>st</t>
  </si>
  <si>
    <t>Mendoza</t>
  </si>
  <si>
    <t>Veronica</t>
  </si>
  <si>
    <t>Eugenia Morales</t>
  </si>
  <si>
    <t>20l pintura latex blanco</t>
  </si>
  <si>
    <t>alta</t>
  </si>
  <si>
    <t>constructor</t>
  </si>
  <si>
    <t>cable 2x1 5mts</t>
  </si>
  <si>
    <t>precioFinal</t>
  </si>
  <si>
    <t>timbre portero 231</t>
  </si>
  <si>
    <t>codo rosca 1/2</t>
  </si>
  <si>
    <t>cable canal interior</t>
  </si>
  <si>
    <t>rodillo 6 pulgadas</t>
  </si>
  <si>
    <t>sellarosca</t>
  </si>
  <si>
    <t>precioDolar</t>
  </si>
  <si>
    <t>idmaterial</t>
  </si>
  <si>
    <t>nombre</t>
  </si>
  <si>
    <t>stock Final</t>
  </si>
  <si>
    <t>hierro del 8</t>
  </si>
  <si>
    <t>hierro del 10</t>
  </si>
  <si>
    <t>hierro del 12</t>
  </si>
  <si>
    <t>caja ceramica violeta</t>
  </si>
  <si>
    <t>vigas 3.20</t>
  </si>
  <si>
    <t xml:space="preserve"> </t>
  </si>
  <si>
    <t xml:space="preserve">CANTIDAD DE TRABAJOS EN TOTAL </t>
  </si>
  <si>
    <t>ARQUITECTOS</t>
  </si>
  <si>
    <t>Etiquetas de fila</t>
  </si>
  <si>
    <t>Cuenta de id</t>
  </si>
  <si>
    <t>Marcelo</t>
  </si>
  <si>
    <t>Maria Peralta</t>
  </si>
  <si>
    <t>Suma de precio</t>
  </si>
  <si>
    <t>Mas vendio</t>
  </si>
  <si>
    <t>Menos vendio</t>
  </si>
  <si>
    <t>Mas facturo</t>
  </si>
  <si>
    <t>Menos facturo</t>
  </si>
  <si>
    <t>año fecha</t>
  </si>
  <si>
    <t>mes fecha</t>
  </si>
  <si>
    <t>PORCENTAJE</t>
  </si>
  <si>
    <t>ESCALA</t>
  </si>
  <si>
    <t>GRADOS</t>
  </si>
  <si>
    <t>X</t>
  </si>
  <si>
    <t>Y</t>
  </si>
  <si>
    <t>PUNTO FINAL</t>
  </si>
  <si>
    <t>PUNTO INICIAL</t>
  </si>
  <si>
    <t>cantidad de trabajo</t>
  </si>
  <si>
    <t>finalizadas</t>
  </si>
  <si>
    <t>en curso</t>
  </si>
  <si>
    <t>ALTA</t>
  </si>
  <si>
    <t>(Varios elementos)</t>
  </si>
  <si>
    <t>(Todas)</t>
  </si>
  <si>
    <t>MES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</si>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</sst>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0021"/>
        <bgColor indexed="64"/>
      </patternFill>
    </fill>
    <fill>
      <patternFill patternType="solid">
        <fgColor rgb="FF99003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3" borderId="0" xfId="0" applyFill="1"/>
    <xf numFmtId="0" fontId="1" fillId="0" borderId="0" xfId="0" applyFont="1" applyBorder="1" applyAlignment="1"/>
    <xf numFmtId="0" fontId="0" fillId="0" borderId="0" xfId="0" applyBorder="1"/>
    <xf numFmtId="0" fontId="2" fillId="0" borderId="0" xfId="0" applyFont="1" applyFill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2" fillId="3" borderId="1" xfId="0" applyFont="1" applyFill="1" applyBorder="1"/>
    <xf numFmtId="9" fontId="0" fillId="0" borderId="1" xfId="1" applyFont="1" applyBorder="1"/>
    <xf numFmtId="0" fontId="2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44" fontId="0" fillId="0" borderId="0" xfId="0" applyNumberFormat="1"/>
  </cellXfs>
  <cellStyles count="2">
    <cellStyle name="Normal" xfId="0" builtinId="0"/>
    <cellStyle name="Porcentaje" xfId="1" builtinId="5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165" formatCode="_-[$$-409]* #,##0.00_ ;_-[$$-409]* \-#,##0.00\ ;_-[$$-409]* &quot;-&quot;??_ ;_-@_ "/>
    </dxf>
    <dxf>
      <numFmt numFmtId="164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164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34" formatCode="_-&quot;$&quot;\ * #,##0.00_-;\-&quot;$&quot;\ * #,##0.00_-;_-&quot;$&quot;\ * &quot;-&quot;??_-;_-@_-"/>
    </dxf>
  </dxfs>
  <tableStyles count="0" defaultTableStyle="TableStyleMedium2" defaultPivotStyle="PivotStyleLight16"/>
  <colors>
    <mruColors>
      <color rgb="FF990033"/>
      <color rgb="FFA50021"/>
      <color rgb="FFA5C4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[datos-trabajo-MACRO.xlsm]ANALISIS!TablaDinámica1</c:name>
    <c:fmtId val="11"/>
  </c:pivotSource>
  <c:chart>
    <c:autoTitleDeleted val="1"/>
    <c:pivotFmts>
      <c:pivotFmt>
        <c:idx val="0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ANALISIS!$B$15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00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ANALISIS!$A$16:$A$20</c:f>
              <c:strCache>
                <c:ptCount val="5"/>
                <c:pt idx="0">
                  <c:v>Diego Gonzales</c:v>
                </c:pt>
                <c:pt idx="1">
                  <c:v>Eugenia Morales</c:v>
                </c:pt>
                <c:pt idx="2">
                  <c:v>Mariano Soria</c:v>
                </c:pt>
                <c:pt idx="3">
                  <c:v>Pablo Suarez</c:v>
                </c:pt>
                <c:pt idx="4">
                  <c:v>Maria Peralta</c:v>
                </c:pt>
              </c:strCache>
            </c:strRef>
          </c:cat>
          <c:val>
            <c:numRef>
              <c:f>ANALISIS!$B$16:$B$20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6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C-41A1-9BE6-A0C4303ED1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98857263"/>
        <c:axId val="998858511"/>
      </c:barChart>
      <c:catAx>
        <c:axId val="99885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98858511"/>
        <c:crosses val="autoZero"/>
        <c:auto val="1"/>
        <c:lblAlgn val="ctr"/>
        <c:lblOffset val="100"/>
        <c:noMultiLvlLbl val="0"/>
      </c:catAx>
      <c:valAx>
        <c:axId val="99885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98857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[datos-trabajo-MACRO.xlsm]ANALISIS!TablaDinámica2</c:name>
    <c:fmtId val="8"/>
  </c:pivotSource>
  <c:chart>
    <c:autoTitleDeleted val="1"/>
    <c:pivotFmts>
      <c:pivotFmt>
        <c:idx val="0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900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ANALISIS!$E$15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0033"/>
            </a:solidFill>
            <a:ln>
              <a:noFill/>
            </a:ln>
            <a:effectLst/>
          </c:spPr>
          <c:invertIfNegative val="0"/>
          <c:cat>
            <c:strRef>
              <c:f>ANALISIS!$D$16:$D$20</c:f>
              <c:strCache>
                <c:ptCount val="5"/>
                <c:pt idx="0">
                  <c:v>Diego Gonzales</c:v>
                </c:pt>
                <c:pt idx="1">
                  <c:v>Eugenia Morales</c:v>
                </c:pt>
                <c:pt idx="2">
                  <c:v>Maria Peralta</c:v>
                </c:pt>
                <c:pt idx="3">
                  <c:v>Mariano Soria</c:v>
                </c:pt>
                <c:pt idx="4">
                  <c:v>Pablo Suarez</c:v>
                </c:pt>
              </c:strCache>
            </c:strRef>
          </c:cat>
          <c:val>
            <c:numRef>
              <c:f>ANALISIS!$E$16:$E$20</c:f>
              <c:numCache>
                <c:formatCode>_("$"* #,##0.00_);_("$"* \(#,##0.00\);_("$"* "-"??_);_(@_)</c:formatCode>
                <c:ptCount val="5"/>
                <c:pt idx="0">
                  <c:v>120200</c:v>
                </c:pt>
                <c:pt idx="1">
                  <c:v>185550</c:v>
                </c:pt>
                <c:pt idx="2">
                  <c:v>250000</c:v>
                </c:pt>
                <c:pt idx="3">
                  <c:v>1320150</c:v>
                </c:pt>
                <c:pt idx="4">
                  <c:v>3011352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A-429C-BA57-F7AD446E7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19276047"/>
        <c:axId val="919276463"/>
      </c:barChart>
      <c:catAx>
        <c:axId val="91927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9276463"/>
        <c:crosses val="autoZero"/>
        <c:auto val="1"/>
        <c:lblAlgn val="ctr"/>
        <c:lblOffset val="100"/>
        <c:noMultiLvlLbl val="0"/>
      </c:catAx>
      <c:valAx>
        <c:axId val="91927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9276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6666666666664"/>
          <c:y val="8.564814814814814E-2"/>
          <c:w val="0.5444444444444444"/>
          <c:h val="0.9074074074074074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43-4067-AB33-C391CC0DEB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43-4067-AB33-C391CC0DEB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43-4067-AB33-C391CC0DEB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643-4067-AB33-C391CC0DEBC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643-4067-AB33-C391CC0DEBC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643-4067-AB33-C391CC0DEBC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643-4067-AB33-C391CC0DEBC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643-4067-AB33-C391CC0DEBC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643-4067-AB33-C391CC0DEBC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643-4067-AB33-C391CC0DEBC1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3643-4067-AB33-C391CC0DEBC1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-8.7962962962963007E-2"/>
                </c:manualLayout>
              </c:layout>
              <c:tx>
                <c:rich>
                  <a:bodyPr/>
                  <a:lstStyle/>
                  <a:p>
                    <a:fld id="{17B691CE-61C2-441A-9D86-85A7D034B2E1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643-4067-AB33-C391CC0DEBC1}"/>
                </c:ext>
              </c:extLst>
            </c:dLbl>
            <c:dLbl>
              <c:idx val="1"/>
              <c:layout>
                <c:manualLayout>
                  <c:x val="-5.8333333333333334E-2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9AD90E36-503F-4C60-B4AD-70339AC649D7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643-4067-AB33-C391CC0DEBC1}"/>
                </c:ext>
              </c:extLst>
            </c:dLbl>
            <c:dLbl>
              <c:idx val="2"/>
              <c:layout>
                <c:manualLayout>
                  <c:x val="-4.1666666666666664E-2"/>
                  <c:y val="-0.15277777777777779"/>
                </c:manualLayout>
              </c:layout>
              <c:tx>
                <c:rich>
                  <a:bodyPr/>
                  <a:lstStyle/>
                  <a:p>
                    <a:fld id="{502BFE07-3913-480E-AFE5-2098C2CDCFC0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643-4067-AB33-C391CC0DEBC1}"/>
                </c:ext>
              </c:extLst>
            </c:dLbl>
            <c:dLbl>
              <c:idx val="3"/>
              <c:layout>
                <c:manualLayout>
                  <c:x val="-5.5555555555555046E-3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CCF86EB5-4AA6-4E06-A64A-834DA2B8C7C6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3643-4067-AB33-C391CC0DEBC1}"/>
                </c:ext>
              </c:extLst>
            </c:dLbl>
            <c:dLbl>
              <c:idx val="4"/>
              <c:layout>
                <c:manualLayout>
                  <c:x val="2.5000000000000001E-2"/>
                  <c:y val="-0.12037037037037036"/>
                </c:manualLayout>
              </c:layout>
              <c:tx>
                <c:rich>
                  <a:bodyPr/>
                  <a:lstStyle/>
                  <a:p>
                    <a:fld id="{EF7389FF-B34E-45D9-9E13-E93443C9D715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3643-4067-AB33-C391CC0DEBC1}"/>
                </c:ext>
              </c:extLst>
            </c:dLbl>
            <c:dLbl>
              <c:idx val="5"/>
              <c:layout>
                <c:manualLayout>
                  <c:x val="4.7222222222222117E-2"/>
                  <c:y val="-0.10648148148148148"/>
                </c:manualLayout>
              </c:layout>
              <c:tx>
                <c:rich>
                  <a:bodyPr/>
                  <a:lstStyle/>
                  <a:p>
                    <a:fld id="{BF3E6870-5418-46E5-B16E-E689AE888C15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643-4067-AB33-C391CC0DEBC1}"/>
                </c:ext>
              </c:extLst>
            </c:dLbl>
            <c:dLbl>
              <c:idx val="6"/>
              <c:layout>
                <c:manualLayout>
                  <c:x val="8.3333333333333329E-2"/>
                  <c:y val="-7.870370370370372E-2"/>
                </c:manualLayout>
              </c:layout>
              <c:tx>
                <c:rich>
                  <a:bodyPr/>
                  <a:lstStyle/>
                  <a:p>
                    <a:fld id="{733454D0-BEEF-4398-8901-738E209F23E4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3643-4067-AB33-C391CC0DEBC1}"/>
                </c:ext>
              </c:extLst>
            </c:dLbl>
            <c:dLbl>
              <c:idx val="7"/>
              <c:layout>
                <c:manualLayout>
                  <c:x val="8.8888888888888892E-2"/>
                  <c:y val="-5.5555555555555552E-2"/>
                </c:manualLayout>
              </c:layout>
              <c:tx>
                <c:rich>
                  <a:bodyPr/>
                  <a:lstStyle/>
                  <a:p>
                    <a:fld id="{BA4D3F82-18CA-40C5-B040-BB9271E00E54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3643-4067-AB33-C391CC0DEBC1}"/>
                </c:ext>
              </c:extLst>
            </c:dLbl>
            <c:dLbl>
              <c:idx val="8"/>
              <c:layout>
                <c:manualLayout>
                  <c:x val="9.4444444444444442E-2"/>
                  <c:y val="-2.7777777777777776E-2"/>
                </c:manualLayout>
              </c:layout>
              <c:tx>
                <c:rich>
                  <a:bodyPr/>
                  <a:lstStyle/>
                  <a:p>
                    <a:fld id="{379B51DA-E822-41E9-9F09-450EC90EDEF9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3643-4067-AB33-C391CC0DEBC1}"/>
                </c:ext>
              </c:extLst>
            </c:dLbl>
            <c:dLbl>
              <c:idx val="9"/>
              <c:layout>
                <c:manualLayout>
                  <c:x val="9.4444444444444442E-2"/>
                  <c:y val="9.2592592592592587E-3"/>
                </c:manualLayout>
              </c:layout>
              <c:tx>
                <c:rich>
                  <a:bodyPr/>
                  <a:lstStyle/>
                  <a:p>
                    <a:fld id="{0A085F3D-8301-4B7C-B690-AF771DA9ED4C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3643-4067-AB33-C391CC0DEB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43-4067-AB33-C391CC0DEB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'ANALISIS-KPI'!$B$7:$B$17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'ANALISIS-KPI'!$A$7:$A$16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3643-4067-AB33-C391CC0DE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66"/>
      </c:doughnutChart>
      <c:scatterChart>
        <c:scatterStyle val="smoothMarker"/>
        <c:varyColors val="0"/>
        <c:ser>
          <c:idx val="1"/>
          <c:order val="1"/>
          <c:tx>
            <c:v>PUNTOS</c:v>
          </c:tx>
          <c:spPr>
            <a:ln w="47625" cap="rnd">
              <a:solidFill>
                <a:schemeClr val="tx1"/>
              </a:solidFill>
              <a:round/>
              <a:headEnd type="oval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'ANALISIS-KPI'!$B$20:$B$21</c:f>
              <c:numCache>
                <c:formatCode>General</c:formatCode>
                <c:ptCount val="2"/>
                <c:pt idx="0">
                  <c:v>0</c:v>
                </c:pt>
                <c:pt idx="1">
                  <c:v>-6.1257422745431001E-17</c:v>
                </c:pt>
              </c:numCache>
            </c:numRef>
          </c:xVal>
          <c:yVal>
            <c:numRef>
              <c:f>'ANALISIS-KPI'!$C$20:$C$21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643-4067-AB33-C391CC0DE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33472"/>
        <c:axId val="985743872"/>
      </c:scatterChart>
      <c:valAx>
        <c:axId val="98574387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985733472"/>
        <c:crosses val="autoZero"/>
        <c:crossBetween val="midCat"/>
      </c:valAx>
      <c:valAx>
        <c:axId val="9857334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98574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6666666666664"/>
          <c:y val="8.564814814814814E-2"/>
          <c:w val="0.5444444444444444"/>
          <c:h val="0.9074074074074074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B3-4AA6-970E-6376DC0F18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B3-4AA6-970E-6376DC0F18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B3-4AA6-970E-6376DC0F18C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5B3-4AA6-970E-6376DC0F18C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5B3-4AA6-970E-6376DC0F18C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5B3-4AA6-970E-6376DC0F18C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5B3-4AA6-970E-6376DC0F18C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5B3-4AA6-970E-6376DC0F18C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5B3-4AA6-970E-6376DC0F18C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5B3-4AA6-970E-6376DC0F18CE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5B3-4AA6-970E-6376DC0F18CE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-8.7962962962963007E-2"/>
                </c:manualLayout>
              </c:layout>
              <c:tx>
                <c:rich>
                  <a:bodyPr/>
                  <a:lstStyle/>
                  <a:p>
                    <a:fld id="{8AFBA5BE-E329-4925-9C91-CCF07D1CC42C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B3-4AA6-970E-6376DC0F18CE}"/>
                </c:ext>
              </c:extLst>
            </c:dLbl>
            <c:dLbl>
              <c:idx val="1"/>
              <c:layout>
                <c:manualLayout>
                  <c:x val="-5.8333333333333334E-2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D21AF0B8-2B69-4349-9639-D8DDFD01FE7D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5B3-4AA6-970E-6376DC0F18CE}"/>
                </c:ext>
              </c:extLst>
            </c:dLbl>
            <c:dLbl>
              <c:idx val="2"/>
              <c:layout>
                <c:manualLayout>
                  <c:x val="-4.1666666666666664E-2"/>
                  <c:y val="-0.15277777777777779"/>
                </c:manualLayout>
              </c:layout>
              <c:tx>
                <c:rich>
                  <a:bodyPr/>
                  <a:lstStyle/>
                  <a:p>
                    <a:fld id="{BA7D7B77-0E8F-4410-983C-E91BE89374BB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5B3-4AA6-970E-6376DC0F18CE}"/>
                </c:ext>
              </c:extLst>
            </c:dLbl>
            <c:dLbl>
              <c:idx val="3"/>
              <c:layout>
                <c:manualLayout>
                  <c:x val="-5.5555555555555046E-3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FCDA6182-4346-4ED1-8139-F5318AD20C5E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95B3-4AA6-970E-6376DC0F18CE}"/>
                </c:ext>
              </c:extLst>
            </c:dLbl>
            <c:dLbl>
              <c:idx val="4"/>
              <c:layout>
                <c:manualLayout>
                  <c:x val="2.5000000000000001E-2"/>
                  <c:y val="-0.12037037037037036"/>
                </c:manualLayout>
              </c:layout>
              <c:tx>
                <c:rich>
                  <a:bodyPr/>
                  <a:lstStyle/>
                  <a:p>
                    <a:fld id="{EE535509-F756-4142-A04D-EC4A923F81F9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5B3-4AA6-970E-6376DC0F18CE}"/>
                </c:ext>
              </c:extLst>
            </c:dLbl>
            <c:dLbl>
              <c:idx val="5"/>
              <c:layout>
                <c:manualLayout>
                  <c:x val="4.7222222222222117E-2"/>
                  <c:y val="-0.10648148148148148"/>
                </c:manualLayout>
              </c:layout>
              <c:tx>
                <c:rich>
                  <a:bodyPr/>
                  <a:lstStyle/>
                  <a:p>
                    <a:fld id="{F1BA6BC5-8E98-489F-9E6B-88F72F759A32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5B3-4AA6-970E-6376DC0F18CE}"/>
                </c:ext>
              </c:extLst>
            </c:dLbl>
            <c:dLbl>
              <c:idx val="6"/>
              <c:layout>
                <c:manualLayout>
                  <c:x val="8.3333333333333329E-2"/>
                  <c:y val="-7.870370370370372E-2"/>
                </c:manualLayout>
              </c:layout>
              <c:tx>
                <c:rich>
                  <a:bodyPr/>
                  <a:lstStyle/>
                  <a:p>
                    <a:fld id="{B51E8C48-EBA1-469D-A608-C939A0F4AE90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5B3-4AA6-970E-6376DC0F18CE}"/>
                </c:ext>
              </c:extLst>
            </c:dLbl>
            <c:dLbl>
              <c:idx val="7"/>
              <c:layout>
                <c:manualLayout>
                  <c:x val="8.8888888888888892E-2"/>
                  <c:y val="-5.5555555555555552E-2"/>
                </c:manualLayout>
              </c:layout>
              <c:tx>
                <c:rich>
                  <a:bodyPr/>
                  <a:lstStyle/>
                  <a:p>
                    <a:fld id="{60196D49-2306-40BC-A5B1-81F994E1787E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95B3-4AA6-970E-6376DC0F18CE}"/>
                </c:ext>
              </c:extLst>
            </c:dLbl>
            <c:dLbl>
              <c:idx val="8"/>
              <c:layout>
                <c:manualLayout>
                  <c:x val="9.4444444444444442E-2"/>
                  <c:y val="-2.7777777777777776E-2"/>
                </c:manualLayout>
              </c:layout>
              <c:tx>
                <c:rich>
                  <a:bodyPr/>
                  <a:lstStyle/>
                  <a:p>
                    <a:fld id="{2D1FBAF1-3FE5-402A-9735-509FDDB94653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95B3-4AA6-970E-6376DC0F18CE}"/>
                </c:ext>
              </c:extLst>
            </c:dLbl>
            <c:dLbl>
              <c:idx val="9"/>
              <c:layout>
                <c:manualLayout>
                  <c:x val="9.4444444444444442E-2"/>
                  <c:y val="9.2592592592592587E-3"/>
                </c:manualLayout>
              </c:layout>
              <c:tx>
                <c:rich>
                  <a:bodyPr/>
                  <a:lstStyle/>
                  <a:p>
                    <a:fld id="{A22FE529-23E4-465A-9A4D-C3300C919D9C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95B3-4AA6-970E-6376DC0F18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B3-4AA6-970E-6376DC0F18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'ANALISIS-KPI'!$B$7:$B$17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'ANALISIS-KPI'!$A$7:$A$16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95B3-4AA6-970E-6376DC0F1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66"/>
      </c:doughnutChart>
      <c:scatterChart>
        <c:scatterStyle val="smoothMarker"/>
        <c:varyColors val="0"/>
        <c:ser>
          <c:idx val="1"/>
          <c:order val="1"/>
          <c:tx>
            <c:v>PUNTOS</c:v>
          </c:tx>
          <c:spPr>
            <a:ln w="50800" cap="rnd">
              <a:solidFill>
                <a:schemeClr val="tx1"/>
              </a:solidFill>
              <a:round/>
              <a:headEnd type="oval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'ANALISIS-KPI'!$B$27:$B$28</c:f>
              <c:numCache>
                <c:formatCode>General</c:formatCode>
                <c:ptCount val="2"/>
                <c:pt idx="0">
                  <c:v>0</c:v>
                </c:pt>
                <c:pt idx="1">
                  <c:v>-0.90096886790241915</c:v>
                </c:pt>
              </c:numCache>
            </c:numRef>
          </c:xVal>
          <c:yVal>
            <c:numRef>
              <c:f>'ANALISIS-KPI'!$C$27:$C$28</c:f>
              <c:numCache>
                <c:formatCode>General</c:formatCode>
                <c:ptCount val="2"/>
                <c:pt idx="0">
                  <c:v>0</c:v>
                </c:pt>
                <c:pt idx="1">
                  <c:v>0.43388373911755812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5B3-4AA6-970E-6376DC0F1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33472"/>
        <c:axId val="985743872"/>
      </c:scatterChart>
      <c:valAx>
        <c:axId val="98574387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985733472"/>
        <c:crosses val="autoZero"/>
        <c:crossBetween val="midCat"/>
      </c:valAx>
      <c:valAx>
        <c:axId val="9857334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98574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6666666666664"/>
          <c:y val="8.564814814814814E-2"/>
          <c:w val="0.5444444444444444"/>
          <c:h val="0.9074074074074074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38-4F2D-9144-87ACD8B447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38-4F2D-9144-87ACD8B447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938-4F2D-9144-87ACD8B447C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938-4F2D-9144-87ACD8B447C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938-4F2D-9144-87ACD8B447C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938-4F2D-9144-87ACD8B447C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938-4F2D-9144-87ACD8B447C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938-4F2D-9144-87ACD8B447C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938-4F2D-9144-87ACD8B447C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938-4F2D-9144-87ACD8B447CE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938-4F2D-9144-87ACD8B447CE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-8.7962962962963007E-2"/>
                </c:manualLayout>
              </c:layout>
              <c:tx>
                <c:rich>
                  <a:bodyPr/>
                  <a:lstStyle/>
                  <a:p>
                    <a:fld id="{72854D88-D5E3-4A1A-9CC5-0ADBFCB30BC2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938-4F2D-9144-87ACD8B447CE}"/>
                </c:ext>
              </c:extLst>
            </c:dLbl>
            <c:dLbl>
              <c:idx val="1"/>
              <c:layout>
                <c:manualLayout>
                  <c:x val="-5.8333333333333334E-2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9EF5C0CC-BEC2-4A36-95D5-A5628F90B78D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938-4F2D-9144-87ACD8B447CE}"/>
                </c:ext>
              </c:extLst>
            </c:dLbl>
            <c:dLbl>
              <c:idx val="2"/>
              <c:layout>
                <c:manualLayout>
                  <c:x val="-4.1666666666666664E-2"/>
                  <c:y val="-0.15277777777777779"/>
                </c:manualLayout>
              </c:layout>
              <c:tx>
                <c:rich>
                  <a:bodyPr/>
                  <a:lstStyle/>
                  <a:p>
                    <a:fld id="{CF2C7E7C-7B23-42E0-8FB3-02F6CD0691E1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938-4F2D-9144-87ACD8B447CE}"/>
                </c:ext>
              </c:extLst>
            </c:dLbl>
            <c:dLbl>
              <c:idx val="3"/>
              <c:layout>
                <c:manualLayout>
                  <c:x val="-5.5555555555555046E-3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982BD934-0AEE-4366-8C0F-F59C22D22CFB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8938-4F2D-9144-87ACD8B447CE}"/>
                </c:ext>
              </c:extLst>
            </c:dLbl>
            <c:dLbl>
              <c:idx val="4"/>
              <c:layout>
                <c:manualLayout>
                  <c:x val="2.5000000000000001E-2"/>
                  <c:y val="-0.12037037037037036"/>
                </c:manualLayout>
              </c:layout>
              <c:tx>
                <c:rich>
                  <a:bodyPr/>
                  <a:lstStyle/>
                  <a:p>
                    <a:fld id="{32FC119C-8085-48A9-925D-0014D869167F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8938-4F2D-9144-87ACD8B447CE}"/>
                </c:ext>
              </c:extLst>
            </c:dLbl>
            <c:dLbl>
              <c:idx val="5"/>
              <c:layout>
                <c:manualLayout>
                  <c:x val="4.7222222222222117E-2"/>
                  <c:y val="-0.10648148148148148"/>
                </c:manualLayout>
              </c:layout>
              <c:tx>
                <c:rich>
                  <a:bodyPr/>
                  <a:lstStyle/>
                  <a:p>
                    <a:fld id="{786416A4-1192-441B-A44E-CBA3F641FCDD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8938-4F2D-9144-87ACD8B447CE}"/>
                </c:ext>
              </c:extLst>
            </c:dLbl>
            <c:dLbl>
              <c:idx val="6"/>
              <c:layout>
                <c:manualLayout>
                  <c:x val="8.3333333333333329E-2"/>
                  <c:y val="-7.870370370370372E-2"/>
                </c:manualLayout>
              </c:layout>
              <c:tx>
                <c:rich>
                  <a:bodyPr/>
                  <a:lstStyle/>
                  <a:p>
                    <a:fld id="{DDCF11E4-FCE8-4CE3-9095-D2F14519C417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8938-4F2D-9144-87ACD8B447CE}"/>
                </c:ext>
              </c:extLst>
            </c:dLbl>
            <c:dLbl>
              <c:idx val="7"/>
              <c:layout>
                <c:manualLayout>
                  <c:x val="8.8888888888888892E-2"/>
                  <c:y val="-5.5555555555555552E-2"/>
                </c:manualLayout>
              </c:layout>
              <c:tx>
                <c:rich>
                  <a:bodyPr/>
                  <a:lstStyle/>
                  <a:p>
                    <a:fld id="{5B0492C4-FF56-46A4-966C-37DE5A8ADE6D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8938-4F2D-9144-87ACD8B447CE}"/>
                </c:ext>
              </c:extLst>
            </c:dLbl>
            <c:dLbl>
              <c:idx val="8"/>
              <c:layout>
                <c:manualLayout>
                  <c:x val="9.4444444444444442E-2"/>
                  <c:y val="-2.7777777777777776E-2"/>
                </c:manualLayout>
              </c:layout>
              <c:tx>
                <c:rich>
                  <a:bodyPr/>
                  <a:lstStyle/>
                  <a:p>
                    <a:fld id="{43C4C045-0461-42AB-9F4D-2EFE4EAAF862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8938-4F2D-9144-87ACD8B447CE}"/>
                </c:ext>
              </c:extLst>
            </c:dLbl>
            <c:dLbl>
              <c:idx val="9"/>
              <c:layout>
                <c:manualLayout>
                  <c:x val="9.4444444444444442E-2"/>
                  <c:y val="9.2592592592592587E-3"/>
                </c:manualLayout>
              </c:layout>
              <c:tx>
                <c:rich>
                  <a:bodyPr/>
                  <a:lstStyle/>
                  <a:p>
                    <a:fld id="{630D6B5E-7882-4BE5-AC72-B7586E5C1CCB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8938-4F2D-9144-87ACD8B447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38-4F2D-9144-87ACD8B447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'ANALISIS-KPI'!$B$7:$B$17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'ANALISIS-KPI'!$A$7:$A$16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8938-4F2D-9144-87ACD8B44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66"/>
      </c:doughnutChart>
      <c:scatterChart>
        <c:scatterStyle val="smoothMarker"/>
        <c:varyColors val="0"/>
        <c:ser>
          <c:idx val="1"/>
          <c:order val="1"/>
          <c:tx>
            <c:v>PUNTOS</c:v>
          </c:tx>
          <c:spPr>
            <a:ln w="50800" cap="rnd">
              <a:solidFill>
                <a:schemeClr val="tx1"/>
              </a:solidFill>
              <a:round/>
              <a:headEnd type="oval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'ANALISIS-KPI'!$F$27:$F$28</c:f>
              <c:numCache>
                <c:formatCode>General</c:formatCode>
                <c:ptCount val="2"/>
                <c:pt idx="0">
                  <c:v>0</c:v>
                </c:pt>
                <c:pt idx="1">
                  <c:v>-0.90096886790241915</c:v>
                </c:pt>
              </c:numCache>
            </c:numRef>
          </c:xVal>
          <c:yVal>
            <c:numRef>
              <c:f>'ANALISIS-KPI'!$G$27:$G$28</c:f>
              <c:numCache>
                <c:formatCode>General</c:formatCode>
                <c:ptCount val="2"/>
                <c:pt idx="0">
                  <c:v>0</c:v>
                </c:pt>
                <c:pt idx="1">
                  <c:v>0.43388373911755812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938-4F2D-9144-87ACD8B44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33472"/>
        <c:axId val="985743872"/>
      </c:scatterChart>
      <c:valAx>
        <c:axId val="98574387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985733472"/>
        <c:crosses val="autoZero"/>
        <c:crossBetween val="midCat"/>
      </c:valAx>
      <c:valAx>
        <c:axId val="9857334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98574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6666666666664"/>
          <c:y val="8.564814814814814E-2"/>
          <c:w val="0.5444444444444444"/>
          <c:h val="0.9074074074074074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2D-4025-8F36-788A11F213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2D-4025-8F36-788A11F213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2D-4025-8F36-788A11F213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2D-4025-8F36-788A11F213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2D-4025-8F36-788A11F213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2D-4025-8F36-788A11F213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C2D-4025-8F36-788A11F213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C2D-4025-8F36-788A11F213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C2D-4025-8F36-788A11F213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C2D-4025-8F36-788A11F2132E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C2D-4025-8F36-788A11F2132E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-8.7962962962963007E-2"/>
                </c:manualLayout>
              </c:layout>
              <c:tx>
                <c:rich>
                  <a:bodyPr/>
                  <a:lstStyle/>
                  <a:p>
                    <a:fld id="{47F589CD-5041-4A2C-8CC7-7AA3FB4E5608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C2D-4025-8F36-788A11F2132E}"/>
                </c:ext>
              </c:extLst>
            </c:dLbl>
            <c:dLbl>
              <c:idx val="1"/>
              <c:layout>
                <c:manualLayout>
                  <c:x val="-5.8333333333333334E-2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135B0D02-2691-4120-A6D3-10BAFBFF5114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2D-4025-8F36-788A11F2132E}"/>
                </c:ext>
              </c:extLst>
            </c:dLbl>
            <c:dLbl>
              <c:idx val="2"/>
              <c:layout>
                <c:manualLayout>
                  <c:x val="-4.1666666666666664E-2"/>
                  <c:y val="-0.15277777777777779"/>
                </c:manualLayout>
              </c:layout>
              <c:tx>
                <c:rich>
                  <a:bodyPr/>
                  <a:lstStyle/>
                  <a:p>
                    <a:fld id="{96DDAD0A-943B-475E-AFEE-0395C1A2AD42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C2D-4025-8F36-788A11F2132E}"/>
                </c:ext>
              </c:extLst>
            </c:dLbl>
            <c:dLbl>
              <c:idx val="3"/>
              <c:layout>
                <c:manualLayout>
                  <c:x val="-5.5555555555555046E-3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4D65DA05-86E8-4CBA-AE38-FD2EDC240F8A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5C2D-4025-8F36-788A11F2132E}"/>
                </c:ext>
              </c:extLst>
            </c:dLbl>
            <c:dLbl>
              <c:idx val="4"/>
              <c:layout>
                <c:manualLayout>
                  <c:x val="2.5000000000000001E-2"/>
                  <c:y val="-0.12037037037037036"/>
                </c:manualLayout>
              </c:layout>
              <c:tx>
                <c:rich>
                  <a:bodyPr/>
                  <a:lstStyle/>
                  <a:p>
                    <a:fld id="{DA32D1FD-4DB3-4C22-9035-439E2D63FCBC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5C2D-4025-8F36-788A11F2132E}"/>
                </c:ext>
              </c:extLst>
            </c:dLbl>
            <c:dLbl>
              <c:idx val="5"/>
              <c:layout>
                <c:manualLayout>
                  <c:x val="4.7222222222222117E-2"/>
                  <c:y val="-0.10648148148148148"/>
                </c:manualLayout>
              </c:layout>
              <c:tx>
                <c:rich>
                  <a:bodyPr/>
                  <a:lstStyle/>
                  <a:p>
                    <a:fld id="{450B5137-6944-4727-B2B0-BB90A9084C4A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5C2D-4025-8F36-788A11F2132E}"/>
                </c:ext>
              </c:extLst>
            </c:dLbl>
            <c:dLbl>
              <c:idx val="6"/>
              <c:layout>
                <c:manualLayout>
                  <c:x val="8.3333333333333329E-2"/>
                  <c:y val="-7.870370370370372E-2"/>
                </c:manualLayout>
              </c:layout>
              <c:tx>
                <c:rich>
                  <a:bodyPr/>
                  <a:lstStyle/>
                  <a:p>
                    <a:fld id="{0F46C2CC-A895-4CF2-A739-916057FDD936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5C2D-4025-8F36-788A11F2132E}"/>
                </c:ext>
              </c:extLst>
            </c:dLbl>
            <c:dLbl>
              <c:idx val="7"/>
              <c:layout>
                <c:manualLayout>
                  <c:x val="8.8888888888888892E-2"/>
                  <c:y val="-5.5555555555555552E-2"/>
                </c:manualLayout>
              </c:layout>
              <c:tx>
                <c:rich>
                  <a:bodyPr/>
                  <a:lstStyle/>
                  <a:p>
                    <a:fld id="{19FA5297-E7F3-4FCB-9A14-F2819D254C1B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5C2D-4025-8F36-788A11F2132E}"/>
                </c:ext>
              </c:extLst>
            </c:dLbl>
            <c:dLbl>
              <c:idx val="8"/>
              <c:layout>
                <c:manualLayout>
                  <c:x val="9.4444444444444442E-2"/>
                  <c:y val="-2.7777777777777776E-2"/>
                </c:manualLayout>
              </c:layout>
              <c:tx>
                <c:rich>
                  <a:bodyPr/>
                  <a:lstStyle/>
                  <a:p>
                    <a:fld id="{C070C299-314C-4063-9693-C7142308D6AA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5C2D-4025-8F36-788A11F2132E}"/>
                </c:ext>
              </c:extLst>
            </c:dLbl>
            <c:dLbl>
              <c:idx val="9"/>
              <c:layout>
                <c:manualLayout>
                  <c:x val="9.4444444444444442E-2"/>
                  <c:y val="9.2592592592592587E-3"/>
                </c:manualLayout>
              </c:layout>
              <c:tx>
                <c:rich>
                  <a:bodyPr/>
                  <a:lstStyle/>
                  <a:p>
                    <a:fld id="{B5032EE8-82C3-4A1C-8FC1-344FCF8B6118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5C2D-4025-8F36-788A11F213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2D-4025-8F36-788A11F213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'ANALISIS-KPI'!$B$7:$B$17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'ANALISIS-KPI'!$A$7:$A$16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5C2D-4025-8F36-788A11F21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66"/>
      </c:doughnutChart>
      <c:scatterChart>
        <c:scatterStyle val="smoothMarker"/>
        <c:varyColors val="0"/>
        <c:ser>
          <c:idx val="1"/>
          <c:order val="1"/>
          <c:tx>
            <c:v>PUNTOS</c:v>
          </c:tx>
          <c:spPr>
            <a:ln w="50800" cap="rnd">
              <a:solidFill>
                <a:schemeClr val="tx1"/>
              </a:solidFill>
              <a:round/>
              <a:headEnd type="oval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'ANALISIS-KPI'!$J$27:$J$28</c:f>
              <c:numCache>
                <c:formatCode>General</c:formatCode>
                <c:ptCount val="2"/>
                <c:pt idx="0">
                  <c:v>0</c:v>
                </c:pt>
                <c:pt idx="1">
                  <c:v>0.62348980185873348</c:v>
                </c:pt>
              </c:numCache>
            </c:numRef>
          </c:xVal>
          <c:yVal>
            <c:numRef>
              <c:f>'ANALISIS-KPI'!$K$27:$K$28</c:f>
              <c:numCache>
                <c:formatCode>General</c:formatCode>
                <c:ptCount val="2"/>
                <c:pt idx="0">
                  <c:v>0</c:v>
                </c:pt>
                <c:pt idx="1">
                  <c:v>0.78183148246802991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C2D-4025-8F36-788A11F21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33472"/>
        <c:axId val="985743872"/>
      </c:scatterChart>
      <c:valAx>
        <c:axId val="98574387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985733472"/>
        <c:crosses val="autoZero"/>
        <c:crossBetween val="midCat"/>
      </c:valAx>
      <c:valAx>
        <c:axId val="9857334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98574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6666666666664"/>
          <c:y val="8.564814814814814E-2"/>
          <c:w val="0.5444444444444444"/>
          <c:h val="0.9074074074074074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20-4AD6-B96B-27F1B1599A4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20-4AD6-B96B-27F1B1599A4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20-4AD6-B96B-27F1B1599A4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20-4AD6-B96B-27F1B1599A4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20-4AD6-B96B-27F1B1599A4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20-4AD6-B96B-27F1B1599A4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20-4AD6-B96B-27F1B1599A4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20-4AD6-B96B-27F1B1599A4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20-4AD6-B96B-27F1B1599A4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20-4AD6-B96B-27F1B1599A47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2220-4AD6-B96B-27F1B1599A47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-8.7962962962963007E-2"/>
                </c:manualLayout>
              </c:layout>
              <c:tx>
                <c:rich>
                  <a:bodyPr/>
                  <a:lstStyle/>
                  <a:p>
                    <a:fld id="{FF80A775-E951-49F6-A5B5-872FFB7D8A1A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220-4AD6-B96B-27F1B1599A47}"/>
                </c:ext>
              </c:extLst>
            </c:dLbl>
            <c:dLbl>
              <c:idx val="1"/>
              <c:layout>
                <c:manualLayout>
                  <c:x val="-5.8333333333333334E-2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2CB482BA-881A-4B3C-B1B6-C05462C69B90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220-4AD6-B96B-27F1B1599A47}"/>
                </c:ext>
              </c:extLst>
            </c:dLbl>
            <c:dLbl>
              <c:idx val="2"/>
              <c:layout>
                <c:manualLayout>
                  <c:x val="-4.1666666666666664E-2"/>
                  <c:y val="-0.15277777777777779"/>
                </c:manualLayout>
              </c:layout>
              <c:tx>
                <c:rich>
                  <a:bodyPr/>
                  <a:lstStyle/>
                  <a:p>
                    <a:fld id="{603FE188-8407-45BD-B84C-EB475178E7DC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220-4AD6-B96B-27F1B1599A47}"/>
                </c:ext>
              </c:extLst>
            </c:dLbl>
            <c:dLbl>
              <c:idx val="3"/>
              <c:layout>
                <c:manualLayout>
                  <c:x val="-5.5555555555555046E-3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CB67EAE0-E578-408C-AEB7-260B3C6DD987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220-4AD6-B96B-27F1B1599A47}"/>
                </c:ext>
              </c:extLst>
            </c:dLbl>
            <c:dLbl>
              <c:idx val="4"/>
              <c:layout>
                <c:manualLayout>
                  <c:x val="2.5000000000000001E-2"/>
                  <c:y val="-0.12037037037037036"/>
                </c:manualLayout>
              </c:layout>
              <c:tx>
                <c:rich>
                  <a:bodyPr/>
                  <a:lstStyle/>
                  <a:p>
                    <a:fld id="{D6C3B85A-5536-4597-8124-FF13C477B272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220-4AD6-B96B-27F1B1599A47}"/>
                </c:ext>
              </c:extLst>
            </c:dLbl>
            <c:dLbl>
              <c:idx val="5"/>
              <c:layout>
                <c:manualLayout>
                  <c:x val="4.7222222222222117E-2"/>
                  <c:y val="-0.10648148148148148"/>
                </c:manualLayout>
              </c:layout>
              <c:tx>
                <c:rich>
                  <a:bodyPr/>
                  <a:lstStyle/>
                  <a:p>
                    <a:fld id="{A89B07DB-0071-4551-8FED-68A8E8DDF53F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220-4AD6-B96B-27F1B1599A47}"/>
                </c:ext>
              </c:extLst>
            </c:dLbl>
            <c:dLbl>
              <c:idx val="6"/>
              <c:layout>
                <c:manualLayout>
                  <c:x val="8.3333333333333329E-2"/>
                  <c:y val="-7.870370370370372E-2"/>
                </c:manualLayout>
              </c:layout>
              <c:tx>
                <c:rich>
                  <a:bodyPr/>
                  <a:lstStyle/>
                  <a:p>
                    <a:fld id="{12108A39-2E2E-4085-B2DD-C4ADDCB1F32D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220-4AD6-B96B-27F1B1599A47}"/>
                </c:ext>
              </c:extLst>
            </c:dLbl>
            <c:dLbl>
              <c:idx val="7"/>
              <c:layout>
                <c:manualLayout>
                  <c:x val="8.8888888888888892E-2"/>
                  <c:y val="-5.5555555555555552E-2"/>
                </c:manualLayout>
              </c:layout>
              <c:tx>
                <c:rich>
                  <a:bodyPr/>
                  <a:lstStyle/>
                  <a:p>
                    <a:fld id="{7FDD987F-16F0-492C-BBC2-2BDDC5E80E59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220-4AD6-B96B-27F1B1599A47}"/>
                </c:ext>
              </c:extLst>
            </c:dLbl>
            <c:dLbl>
              <c:idx val="8"/>
              <c:layout>
                <c:manualLayout>
                  <c:x val="9.4444444444444442E-2"/>
                  <c:y val="-2.7777777777777776E-2"/>
                </c:manualLayout>
              </c:layout>
              <c:tx>
                <c:rich>
                  <a:bodyPr/>
                  <a:lstStyle/>
                  <a:p>
                    <a:fld id="{A5482D9F-3432-492B-AB7C-821C985ABB24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220-4AD6-B96B-27F1B1599A47}"/>
                </c:ext>
              </c:extLst>
            </c:dLbl>
            <c:dLbl>
              <c:idx val="9"/>
              <c:layout>
                <c:manualLayout>
                  <c:x val="9.4444444444444442E-2"/>
                  <c:y val="9.2592592592592587E-3"/>
                </c:manualLayout>
              </c:layout>
              <c:tx>
                <c:rich>
                  <a:bodyPr/>
                  <a:lstStyle/>
                  <a:p>
                    <a:fld id="{07EE1106-79F3-4943-B32E-EAE9844B0C89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2220-4AD6-B96B-27F1B1599A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20-4AD6-B96B-27F1B1599A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'ANALISIS-KPI'!$B$7:$B$17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'ANALISIS-KPI'!$A$7:$A$16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220-4AD6-B96B-27F1B1599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66"/>
      </c:doughnutChart>
      <c:scatterChart>
        <c:scatterStyle val="smoothMarker"/>
        <c:varyColors val="0"/>
        <c:ser>
          <c:idx val="1"/>
          <c:order val="1"/>
          <c:tx>
            <c:v>PUNTOS</c:v>
          </c:tx>
          <c:spPr>
            <a:ln w="50800" cap="rnd">
              <a:solidFill>
                <a:schemeClr val="tx1"/>
              </a:solidFill>
              <a:round/>
              <a:headEnd type="oval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'ANALISIS-KPI'!$B$33:$B$34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'ANALISIS-KPI'!$C$33:$C$34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220-4AD6-B96B-27F1B1599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33472"/>
        <c:axId val="985743872"/>
      </c:scatterChart>
      <c:valAx>
        <c:axId val="98574387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985733472"/>
        <c:crosses val="autoZero"/>
        <c:crossBetween val="midCat"/>
      </c:valAx>
      <c:valAx>
        <c:axId val="9857334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98574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6666666666664"/>
          <c:y val="8.564814814814814E-2"/>
          <c:w val="0.5444444444444444"/>
          <c:h val="0.9074074074074074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A-4BE7-9ADF-FB7E55A337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DA-4BE7-9ADF-FB7E55A337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CDA-4BE7-9ADF-FB7E55A337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CDA-4BE7-9ADF-FB7E55A337A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CDA-4BE7-9ADF-FB7E55A337A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CDA-4BE7-9ADF-FB7E55A337A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CDA-4BE7-9ADF-FB7E55A337A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CDA-4BE7-9ADF-FB7E55A337A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CDA-4BE7-9ADF-FB7E55A337A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CDA-4BE7-9ADF-FB7E55A337AC}"/>
              </c:ext>
            </c:extLst>
          </c:dPt>
          <c:dPt>
            <c:idx val="1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CDA-4BE7-9ADF-FB7E55A337AC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-8.7962962962963007E-2"/>
                </c:manualLayout>
              </c:layout>
              <c:tx>
                <c:rich>
                  <a:bodyPr/>
                  <a:lstStyle/>
                  <a:p>
                    <a:fld id="{2207388D-E328-4344-9526-943786180534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DA-4BE7-9ADF-FB7E55A337AC}"/>
                </c:ext>
              </c:extLst>
            </c:dLbl>
            <c:dLbl>
              <c:idx val="1"/>
              <c:layout>
                <c:manualLayout>
                  <c:x val="-5.8333333333333334E-2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5A5F7FBA-3A3A-4A20-927B-86F2F3804D14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DA-4BE7-9ADF-FB7E55A337AC}"/>
                </c:ext>
              </c:extLst>
            </c:dLbl>
            <c:dLbl>
              <c:idx val="2"/>
              <c:layout>
                <c:manualLayout>
                  <c:x val="-4.1666666666666664E-2"/>
                  <c:y val="-0.15277777777777779"/>
                </c:manualLayout>
              </c:layout>
              <c:tx>
                <c:rich>
                  <a:bodyPr/>
                  <a:lstStyle/>
                  <a:p>
                    <a:fld id="{CDB503DC-A166-43E0-AF61-6B6B799FB6D1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DA-4BE7-9ADF-FB7E55A337AC}"/>
                </c:ext>
              </c:extLst>
            </c:dLbl>
            <c:dLbl>
              <c:idx val="3"/>
              <c:layout>
                <c:manualLayout>
                  <c:x val="-5.5555555555555046E-3"/>
                  <c:y val="-0.13425925925925927"/>
                </c:manualLayout>
              </c:layout>
              <c:tx>
                <c:rich>
                  <a:bodyPr/>
                  <a:lstStyle/>
                  <a:p>
                    <a:fld id="{52B8013E-409E-45F8-96DF-34E0D8A4E5CE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CDA-4BE7-9ADF-FB7E55A337AC}"/>
                </c:ext>
              </c:extLst>
            </c:dLbl>
            <c:dLbl>
              <c:idx val="4"/>
              <c:layout>
                <c:manualLayout>
                  <c:x val="2.5000000000000001E-2"/>
                  <c:y val="-0.12037037037037036"/>
                </c:manualLayout>
              </c:layout>
              <c:tx>
                <c:rich>
                  <a:bodyPr/>
                  <a:lstStyle/>
                  <a:p>
                    <a:fld id="{C6DA6319-8B00-4CC3-BC17-44F417DF07BF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CDA-4BE7-9ADF-FB7E55A337AC}"/>
                </c:ext>
              </c:extLst>
            </c:dLbl>
            <c:dLbl>
              <c:idx val="5"/>
              <c:layout>
                <c:manualLayout>
                  <c:x val="4.7222222222222117E-2"/>
                  <c:y val="-0.10648148148148148"/>
                </c:manualLayout>
              </c:layout>
              <c:tx>
                <c:rich>
                  <a:bodyPr/>
                  <a:lstStyle/>
                  <a:p>
                    <a:fld id="{F6F6C8F1-D9EE-44A3-88AA-ACB423696090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CDA-4BE7-9ADF-FB7E55A337AC}"/>
                </c:ext>
              </c:extLst>
            </c:dLbl>
            <c:dLbl>
              <c:idx val="6"/>
              <c:layout>
                <c:manualLayout>
                  <c:x val="8.3333333333333329E-2"/>
                  <c:y val="-7.870370370370372E-2"/>
                </c:manualLayout>
              </c:layout>
              <c:tx>
                <c:rich>
                  <a:bodyPr/>
                  <a:lstStyle/>
                  <a:p>
                    <a:fld id="{B7577A3D-9E63-4967-B589-93BABFD717CC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0CDA-4BE7-9ADF-FB7E55A337AC}"/>
                </c:ext>
              </c:extLst>
            </c:dLbl>
            <c:dLbl>
              <c:idx val="7"/>
              <c:layout>
                <c:manualLayout>
                  <c:x val="8.8888888888888892E-2"/>
                  <c:y val="-5.5555555555555552E-2"/>
                </c:manualLayout>
              </c:layout>
              <c:tx>
                <c:rich>
                  <a:bodyPr/>
                  <a:lstStyle/>
                  <a:p>
                    <a:fld id="{57828173-CC92-422E-B889-F769E29B7096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0CDA-4BE7-9ADF-FB7E55A337AC}"/>
                </c:ext>
              </c:extLst>
            </c:dLbl>
            <c:dLbl>
              <c:idx val="8"/>
              <c:layout>
                <c:manualLayout>
                  <c:x val="9.4444444444444442E-2"/>
                  <c:y val="-2.7777777777777776E-2"/>
                </c:manualLayout>
              </c:layout>
              <c:tx>
                <c:rich>
                  <a:bodyPr/>
                  <a:lstStyle/>
                  <a:p>
                    <a:fld id="{00CA007B-1658-4FFE-9A71-2C680CC09568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0CDA-4BE7-9ADF-FB7E55A337AC}"/>
                </c:ext>
              </c:extLst>
            </c:dLbl>
            <c:dLbl>
              <c:idx val="9"/>
              <c:layout>
                <c:manualLayout>
                  <c:x val="9.4444444444444442E-2"/>
                  <c:y val="9.2592592592592587E-3"/>
                </c:manualLayout>
              </c:layout>
              <c:tx>
                <c:rich>
                  <a:bodyPr/>
                  <a:lstStyle/>
                  <a:p>
                    <a:fld id="{B7667DD4-28BD-46FB-A03D-B4519DC51642}" type="CELLRANGE">
                      <a:rPr lang="en-US"/>
                      <a:pPr/>
                      <a:t>[CELLRANGE]</a:t>
                    </a:fld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0CDA-4BE7-9ADF-FB7E55A337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s-A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DA-4BE7-9ADF-FB7E55A337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'ANALISIS-KPI'!$B$7:$B$17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'ANALISIS-KPI'!$A$7:$A$16</c15:f>
                <c15:dlblRangeCache>
                  <c:ptCount val="10"/>
                  <c:pt idx="0">
                    <c:v>10%</c:v>
                  </c:pt>
                  <c:pt idx="1">
                    <c:v>20%</c:v>
                  </c:pt>
                  <c:pt idx="2">
                    <c:v>30%</c:v>
                  </c:pt>
                  <c:pt idx="3">
                    <c:v>40%</c:v>
                  </c:pt>
                  <c:pt idx="4">
                    <c:v>50%</c:v>
                  </c:pt>
                  <c:pt idx="5">
                    <c:v>60%</c:v>
                  </c:pt>
                  <c:pt idx="6">
                    <c:v>70%</c:v>
                  </c:pt>
                  <c:pt idx="7">
                    <c:v>80%</c:v>
                  </c:pt>
                  <c:pt idx="8">
                    <c:v>90%</c:v>
                  </c:pt>
                  <c:pt idx="9">
                    <c:v>100%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0CDA-4BE7-9ADF-FB7E55A33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66"/>
      </c:doughnutChart>
      <c:scatterChart>
        <c:scatterStyle val="smoothMarker"/>
        <c:varyColors val="0"/>
        <c:ser>
          <c:idx val="1"/>
          <c:order val="1"/>
          <c:tx>
            <c:v>PUNTOS</c:v>
          </c:tx>
          <c:spPr>
            <a:ln w="50800" cap="rnd">
              <a:solidFill>
                <a:schemeClr val="tx1"/>
              </a:solidFill>
              <a:round/>
              <a:headEnd type="oval"/>
              <a:tailEnd type="triangle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'ANALISIS-KPI'!$F$33:$F$34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'ANALISIS-KPI'!$G$33:$G$34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CDA-4BE7-9ADF-FB7E55A33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33472"/>
        <c:axId val="985743872"/>
      </c:scatterChart>
      <c:valAx>
        <c:axId val="985743872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985733472"/>
        <c:crosses val="autoZero"/>
        <c:crossBetween val="midCat"/>
      </c:valAx>
      <c:valAx>
        <c:axId val="985733472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98574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2</xdr:row>
      <xdr:rowOff>104775</xdr:rowOff>
    </xdr:from>
    <xdr:to>
      <xdr:col>9</xdr:col>
      <xdr:colOff>76199</xdr:colOff>
      <xdr:row>5</xdr:row>
      <xdr:rowOff>19050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5BED8947-EEBC-41D0-9F04-F74585D3AC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3" t="38095" r="-537" b="21429"/>
        <a:stretch/>
      </xdr:blipFill>
      <xdr:spPr>
        <a:xfrm>
          <a:off x="4362450" y="485775"/>
          <a:ext cx="2571749" cy="485775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0</xdr:row>
      <xdr:rowOff>57150</xdr:rowOff>
    </xdr:from>
    <xdr:to>
      <xdr:col>5</xdr:col>
      <xdr:colOff>447675</xdr:colOff>
      <xdr:row>6</xdr:row>
      <xdr:rowOff>59517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1CDDC59-8557-4264-8CFF-0CAB9C1E6D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8260"/>
        <a:stretch/>
      </xdr:blipFill>
      <xdr:spPr>
        <a:xfrm>
          <a:off x="3067050" y="57150"/>
          <a:ext cx="1190625" cy="114536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28575</xdr:rowOff>
    </xdr:from>
    <xdr:to>
      <xdr:col>3</xdr:col>
      <xdr:colOff>590549</xdr:colOff>
      <xdr:row>3</xdr:row>
      <xdr:rowOff>85725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885D494E-1BCC-48C7-BF0A-A2316451B0D7}"/>
            </a:ext>
          </a:extLst>
        </xdr:cNvPr>
        <xdr:cNvSpPr txBox="1"/>
      </xdr:nvSpPr>
      <xdr:spPr>
        <a:xfrm>
          <a:off x="142874" y="28575"/>
          <a:ext cx="273367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CANTIDAD</a:t>
          </a:r>
          <a:r>
            <a:rPr lang="es-AR" sz="1800" b="1" baseline="0">
              <a:solidFill>
                <a:schemeClr val="bg1"/>
              </a:solidFill>
            </a:rPr>
            <a:t> DE TRABAJOS </a:t>
          </a:r>
          <a:endParaRPr lang="es-A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152399</xdr:colOff>
      <xdr:row>2</xdr:row>
      <xdr:rowOff>76200</xdr:rowOff>
    </xdr:from>
    <xdr:to>
      <xdr:col>2</xdr:col>
      <xdr:colOff>438150</xdr:colOff>
      <xdr:row>5</xdr:row>
      <xdr:rowOff>133350</xdr:rowOff>
    </xdr:to>
    <xdr:sp macro="" textlink="ANALISIS!A4">
      <xdr:nvSpPr>
        <xdr:cNvPr id="11" name="CuadroTexto 10">
          <a:extLst>
            <a:ext uri="{FF2B5EF4-FFF2-40B4-BE49-F238E27FC236}">
              <a16:creationId xmlns:a16="http://schemas.microsoft.com/office/drawing/2014/main" id="{56FF4928-91D7-4DD9-B60A-B5D482145904}"/>
            </a:ext>
          </a:extLst>
        </xdr:cNvPr>
        <xdr:cNvSpPr txBox="1"/>
      </xdr:nvSpPr>
      <xdr:spPr>
        <a:xfrm>
          <a:off x="914399" y="457200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87DC6C-73A0-4C69-A12B-AB5914250C0A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es-AR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133349</xdr:colOff>
      <xdr:row>5</xdr:row>
      <xdr:rowOff>123825</xdr:rowOff>
    </xdr:from>
    <xdr:to>
      <xdr:col>3</xdr:col>
      <xdr:colOff>581024</xdr:colOff>
      <xdr:row>7</xdr:row>
      <xdr:rowOff>76200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5AAB3080-4451-41A1-95A3-866F1EBE810D}"/>
            </a:ext>
          </a:extLst>
        </xdr:cNvPr>
        <xdr:cNvSpPr txBox="1"/>
      </xdr:nvSpPr>
      <xdr:spPr>
        <a:xfrm>
          <a:off x="133349" y="107632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AÑOS</a:t>
          </a:r>
        </a:p>
      </xdr:txBody>
    </xdr:sp>
    <xdr:clientData/>
  </xdr:twoCellAnchor>
  <xdr:twoCellAnchor>
    <xdr:from>
      <xdr:col>4</xdr:col>
      <xdr:colOff>152400</xdr:colOff>
      <xdr:row>12</xdr:row>
      <xdr:rowOff>152400</xdr:rowOff>
    </xdr:from>
    <xdr:to>
      <xdr:col>10</xdr:col>
      <xdr:colOff>152400</xdr:colOff>
      <xdr:row>27</xdr:row>
      <xdr:rowOff>38100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9CCA27F6-794C-47D3-AC68-40BB19A48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438148</xdr:colOff>
      <xdr:row>10</xdr:row>
      <xdr:rowOff>38100</xdr:rowOff>
    </xdr:from>
    <xdr:to>
      <xdr:col>9</xdr:col>
      <xdr:colOff>704850</xdr:colOff>
      <xdr:row>12</xdr:row>
      <xdr:rowOff>57150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F8697828-D10E-4C22-836E-88AF0D8C8889}"/>
            </a:ext>
          </a:extLst>
        </xdr:cNvPr>
        <xdr:cNvSpPr txBox="1"/>
      </xdr:nvSpPr>
      <xdr:spPr>
        <a:xfrm>
          <a:off x="3486148" y="1943100"/>
          <a:ext cx="4076702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2000" b="1">
              <a:solidFill>
                <a:srgbClr val="A50021"/>
              </a:solidFill>
            </a:rPr>
            <a:t>Cantidad</a:t>
          </a:r>
          <a:r>
            <a:rPr lang="es-AR" sz="2000" b="1" baseline="0">
              <a:solidFill>
                <a:srgbClr val="A50021"/>
              </a:solidFill>
            </a:rPr>
            <a:t> de trabajos por Arquitecto</a:t>
          </a:r>
          <a:endParaRPr lang="es-AR" sz="2000" b="1">
            <a:solidFill>
              <a:srgbClr val="A50021"/>
            </a:solidFill>
          </a:endParaRPr>
        </a:p>
      </xdr:txBody>
    </xdr:sp>
    <xdr:clientData/>
  </xdr:twoCellAnchor>
  <xdr:twoCellAnchor>
    <xdr:from>
      <xdr:col>10</xdr:col>
      <xdr:colOff>523873</xdr:colOff>
      <xdr:row>10</xdr:row>
      <xdr:rowOff>28575</xdr:rowOff>
    </xdr:from>
    <xdr:to>
      <xdr:col>16</xdr:col>
      <xdr:colOff>28575</xdr:colOff>
      <xdr:row>12</xdr:row>
      <xdr:rowOff>47625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9441835-24D7-40D3-B156-7166865E7680}"/>
            </a:ext>
          </a:extLst>
        </xdr:cNvPr>
        <xdr:cNvSpPr txBox="1"/>
      </xdr:nvSpPr>
      <xdr:spPr>
        <a:xfrm>
          <a:off x="8143873" y="1933575"/>
          <a:ext cx="4076702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2000" b="1">
              <a:solidFill>
                <a:srgbClr val="A50021"/>
              </a:solidFill>
            </a:rPr>
            <a:t>Ingresos generados </a:t>
          </a:r>
          <a:r>
            <a:rPr lang="es-AR" sz="2000" b="1" baseline="0">
              <a:solidFill>
                <a:srgbClr val="A50021"/>
              </a:solidFill>
            </a:rPr>
            <a:t>por Arquitecto</a:t>
          </a:r>
          <a:endParaRPr lang="es-AR" sz="2000" b="1">
            <a:solidFill>
              <a:srgbClr val="A50021"/>
            </a:solidFill>
          </a:endParaRPr>
        </a:p>
      </xdr:txBody>
    </xdr:sp>
    <xdr:clientData/>
  </xdr:twoCellAnchor>
  <xdr:twoCellAnchor>
    <xdr:from>
      <xdr:col>10</xdr:col>
      <xdr:colOff>314325</xdr:colOff>
      <xdr:row>12</xdr:row>
      <xdr:rowOff>152400</xdr:rowOff>
    </xdr:from>
    <xdr:to>
      <xdr:col>16</xdr:col>
      <xdr:colOff>314325</xdr:colOff>
      <xdr:row>27</xdr:row>
      <xdr:rowOff>38100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CE7EF582-2AC8-4391-BF1A-28E618D3C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66673</xdr:colOff>
      <xdr:row>0</xdr:row>
      <xdr:rowOff>47625</xdr:rowOff>
    </xdr:from>
    <xdr:to>
      <xdr:col>13</xdr:col>
      <xdr:colOff>304800</xdr:colOff>
      <xdr:row>2</xdr:row>
      <xdr:rowOff>85725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2044BE4F-1A96-4B2A-AD9D-F553EB4B6C28}"/>
            </a:ext>
          </a:extLst>
        </xdr:cNvPr>
        <xdr:cNvSpPr/>
      </xdr:nvSpPr>
      <xdr:spPr>
        <a:xfrm>
          <a:off x="7686673" y="4762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con mas trabajos</a:t>
          </a:r>
        </a:p>
      </xdr:txBody>
    </xdr:sp>
    <xdr:clientData/>
  </xdr:twoCellAnchor>
  <xdr:twoCellAnchor>
    <xdr:from>
      <xdr:col>10</xdr:col>
      <xdr:colOff>57148</xdr:colOff>
      <xdr:row>2</xdr:row>
      <xdr:rowOff>142875</xdr:rowOff>
    </xdr:from>
    <xdr:to>
      <xdr:col>13</xdr:col>
      <xdr:colOff>295275</xdr:colOff>
      <xdr:row>4</xdr:row>
      <xdr:rowOff>180975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10BB857B-DCB2-490C-802A-EDC08DFE8B9F}"/>
            </a:ext>
          </a:extLst>
        </xdr:cNvPr>
        <xdr:cNvSpPr/>
      </xdr:nvSpPr>
      <xdr:spPr>
        <a:xfrm>
          <a:off x="7677148" y="52387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con menos trabajos</a:t>
          </a:r>
        </a:p>
      </xdr:txBody>
    </xdr:sp>
    <xdr:clientData/>
  </xdr:twoCellAnchor>
  <xdr:twoCellAnchor>
    <xdr:from>
      <xdr:col>13</xdr:col>
      <xdr:colOff>438148</xdr:colOff>
      <xdr:row>0</xdr:row>
      <xdr:rowOff>47625</xdr:rowOff>
    </xdr:from>
    <xdr:to>
      <xdr:col>16</xdr:col>
      <xdr:colOff>238125</xdr:colOff>
      <xdr:row>2</xdr:row>
      <xdr:rowOff>85725</xdr:rowOff>
    </xdr:to>
    <xdr:sp macro="" textlink="ANALISIS!A27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079A8F60-2E15-4127-A1DB-B8767548A2CC}"/>
            </a:ext>
          </a:extLst>
        </xdr:cNvPr>
        <xdr:cNvSpPr/>
      </xdr:nvSpPr>
      <xdr:spPr>
        <a:xfrm>
          <a:off x="10344148" y="47625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2D4A97-A5A7-436B-84E6-A5407BAE996E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Pablo Suarez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438148</xdr:colOff>
      <xdr:row>2</xdr:row>
      <xdr:rowOff>133350</xdr:rowOff>
    </xdr:from>
    <xdr:to>
      <xdr:col>16</xdr:col>
      <xdr:colOff>238125</xdr:colOff>
      <xdr:row>4</xdr:row>
      <xdr:rowOff>171450</xdr:rowOff>
    </xdr:to>
    <xdr:sp macro="" textlink="ANALISIS!A29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D402E425-C74A-4C61-B861-B677A004BA54}"/>
            </a:ext>
          </a:extLst>
        </xdr:cNvPr>
        <xdr:cNvSpPr/>
      </xdr:nvSpPr>
      <xdr:spPr>
        <a:xfrm>
          <a:off x="10344148" y="514350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7858D9-3EDA-4C8E-A9AC-7536149BE0B5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Maria Peralta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66673</xdr:colOff>
      <xdr:row>5</xdr:row>
      <xdr:rowOff>47625</xdr:rowOff>
    </xdr:from>
    <xdr:to>
      <xdr:col>13</xdr:col>
      <xdr:colOff>304800</xdr:colOff>
      <xdr:row>7</xdr:row>
      <xdr:rowOff>85725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658329DB-8769-4428-AFA0-9D1C89A82F51}"/>
            </a:ext>
          </a:extLst>
        </xdr:cNvPr>
        <xdr:cNvSpPr/>
      </xdr:nvSpPr>
      <xdr:spPr>
        <a:xfrm>
          <a:off x="7686673" y="100012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que</a:t>
          </a:r>
          <a:r>
            <a:rPr lang="en-US" sz="1400" b="1" i="0" u="none" strike="noStrike" baseline="0">
              <a:solidFill>
                <a:srgbClr val="A50021"/>
              </a:solidFill>
              <a:latin typeface="Calibri"/>
              <a:ea typeface="Calibri"/>
              <a:cs typeface="Calibri"/>
            </a:rPr>
            <a:t> mas facturo</a:t>
          </a:r>
          <a:endParaRPr lang="en-US" sz="14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57148</xdr:colOff>
      <xdr:row>7</xdr:row>
      <xdr:rowOff>142875</xdr:rowOff>
    </xdr:from>
    <xdr:to>
      <xdr:col>13</xdr:col>
      <xdr:colOff>295275</xdr:colOff>
      <xdr:row>9</xdr:row>
      <xdr:rowOff>180975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D33525A3-AF46-42E9-B99B-260A985BCC7A}"/>
            </a:ext>
          </a:extLst>
        </xdr:cNvPr>
        <xdr:cNvSpPr/>
      </xdr:nvSpPr>
      <xdr:spPr>
        <a:xfrm>
          <a:off x="7677148" y="1476375"/>
          <a:ext cx="2524127" cy="419100"/>
        </a:xfrm>
        <a:prstGeom prst="roundRect">
          <a:avLst/>
        </a:prstGeom>
        <a:noFill/>
        <a:ln w="31750">
          <a:solidFill>
            <a:srgbClr val="9900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t>Arquitecto que</a:t>
          </a:r>
          <a:r>
            <a:rPr lang="en-US" sz="1400" b="1" i="0" u="none" strike="noStrike" baseline="0">
              <a:solidFill>
                <a:srgbClr val="A50021"/>
              </a:solidFill>
              <a:latin typeface="Calibri"/>
              <a:ea typeface="Calibri"/>
              <a:cs typeface="Calibri"/>
            </a:rPr>
            <a:t> menos factruro</a:t>
          </a:r>
          <a:endParaRPr lang="en-US" sz="14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438148</xdr:colOff>
      <xdr:row>5</xdr:row>
      <xdr:rowOff>47625</xdr:rowOff>
    </xdr:from>
    <xdr:to>
      <xdr:col>16</xdr:col>
      <xdr:colOff>238125</xdr:colOff>
      <xdr:row>7</xdr:row>
      <xdr:rowOff>85725</xdr:rowOff>
    </xdr:to>
    <xdr:sp macro="" textlink="ANALISIS!A27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20EF8857-A348-45ED-8157-ED00DFDB9EE5}"/>
            </a:ext>
          </a:extLst>
        </xdr:cNvPr>
        <xdr:cNvSpPr/>
      </xdr:nvSpPr>
      <xdr:spPr>
        <a:xfrm>
          <a:off x="10344148" y="1000125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7061F1-7E9A-4D21-93C3-951B41F388BD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Pablo Suarez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438148</xdr:colOff>
      <xdr:row>7</xdr:row>
      <xdr:rowOff>133350</xdr:rowOff>
    </xdr:from>
    <xdr:to>
      <xdr:col>16</xdr:col>
      <xdr:colOff>238125</xdr:colOff>
      <xdr:row>9</xdr:row>
      <xdr:rowOff>171450</xdr:rowOff>
    </xdr:to>
    <xdr:sp macro="" textlink="ANALISIS!D29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C1681AFD-25E4-4DC5-B491-A4E956E28AB2}"/>
            </a:ext>
          </a:extLst>
        </xdr:cNvPr>
        <xdr:cNvSpPr/>
      </xdr:nvSpPr>
      <xdr:spPr>
        <a:xfrm>
          <a:off x="10344148" y="1466850"/>
          <a:ext cx="2085977" cy="419100"/>
        </a:xfrm>
        <a:prstGeom prst="roundRect">
          <a:avLst/>
        </a:prstGeom>
        <a:noFill/>
        <a:ln w="31750"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050C287-ACAB-4668-8F22-8A5222BA9A5D}" type="TxLink">
            <a:rPr lang="en-US" sz="18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rPr>
            <a:pPr algn="ctr"/>
            <a:t>Diego Gonzales</a:t>
          </a:fld>
          <a:endParaRPr lang="en-US" sz="1800" b="1" i="0" u="none" strike="noStrike">
            <a:solidFill>
              <a:schemeClr val="tx1">
                <a:lumMod val="65000"/>
                <a:lumOff val="3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180973</xdr:colOff>
      <xdr:row>8</xdr:row>
      <xdr:rowOff>123825</xdr:rowOff>
    </xdr:from>
    <xdr:to>
      <xdr:col>1</xdr:col>
      <xdr:colOff>19050</xdr:colOff>
      <xdr:row>10</xdr:row>
      <xdr:rowOff>161925</xdr:rowOff>
    </xdr:to>
    <xdr:sp macro="[0]!VENTIUN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B5302C6A-6EDA-4E30-80B8-A1D77667FC50}"/>
            </a:ext>
          </a:extLst>
        </xdr:cNvPr>
        <xdr:cNvSpPr/>
      </xdr:nvSpPr>
      <xdr:spPr>
        <a:xfrm>
          <a:off x="18097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2021</a:t>
          </a:r>
        </a:p>
      </xdr:txBody>
    </xdr:sp>
    <xdr:clientData/>
  </xdr:twoCellAnchor>
  <xdr:twoCellAnchor>
    <xdr:from>
      <xdr:col>1</xdr:col>
      <xdr:colOff>76198</xdr:colOff>
      <xdr:row>8</xdr:row>
      <xdr:rowOff>123825</xdr:rowOff>
    </xdr:from>
    <xdr:to>
      <xdr:col>1</xdr:col>
      <xdr:colOff>676275</xdr:colOff>
      <xdr:row>10</xdr:row>
      <xdr:rowOff>161925</xdr:rowOff>
    </xdr:to>
    <xdr:sp macro="[0]!VENTIDOS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572B8C6C-92CF-4F91-8C83-5F03257F0264}"/>
            </a:ext>
          </a:extLst>
        </xdr:cNvPr>
        <xdr:cNvSpPr/>
      </xdr:nvSpPr>
      <xdr:spPr>
        <a:xfrm>
          <a:off x="838198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2022</a:t>
          </a:r>
        </a:p>
      </xdr:txBody>
    </xdr:sp>
    <xdr:clientData/>
  </xdr:twoCellAnchor>
  <xdr:twoCellAnchor>
    <xdr:from>
      <xdr:col>1</xdr:col>
      <xdr:colOff>733423</xdr:colOff>
      <xdr:row>8</xdr:row>
      <xdr:rowOff>123825</xdr:rowOff>
    </xdr:from>
    <xdr:to>
      <xdr:col>2</xdr:col>
      <xdr:colOff>571500</xdr:colOff>
      <xdr:row>10</xdr:row>
      <xdr:rowOff>161925</xdr:rowOff>
    </xdr:to>
    <xdr:sp macro="[0]!VENTITRES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5ABE09A2-98BC-4E3B-AB61-D2CCF8EA71F7}"/>
            </a:ext>
          </a:extLst>
        </xdr:cNvPr>
        <xdr:cNvSpPr/>
      </xdr:nvSpPr>
      <xdr:spPr>
        <a:xfrm>
          <a:off x="149542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2023</a:t>
          </a:r>
        </a:p>
      </xdr:txBody>
    </xdr:sp>
    <xdr:clientData/>
  </xdr:twoCellAnchor>
  <xdr:twoCellAnchor editAs="oneCell">
    <xdr:from>
      <xdr:col>0</xdr:col>
      <xdr:colOff>390525</xdr:colOff>
      <xdr:row>68</xdr:row>
      <xdr:rowOff>0</xdr:rowOff>
    </xdr:from>
    <xdr:to>
      <xdr:col>2</xdr:col>
      <xdr:colOff>695325</xdr:colOff>
      <xdr:row>74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0" name="año fecha">
              <a:extLst>
                <a:ext uri="{FF2B5EF4-FFF2-40B4-BE49-F238E27FC236}">
                  <a16:creationId xmlns:a16="http://schemas.microsoft.com/office/drawing/2014/main" id="{F841C7CE-F638-4256-97DA-62503F7729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525" y="12954000"/>
              <a:ext cx="1828800" cy="1190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361950</xdr:colOff>
      <xdr:row>2</xdr:row>
      <xdr:rowOff>152400</xdr:rowOff>
    </xdr:from>
    <xdr:to>
      <xdr:col>18</xdr:col>
      <xdr:colOff>666750</xdr:colOff>
      <xdr:row>20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1" name="mes fecha">
              <a:extLst>
                <a:ext uri="{FF2B5EF4-FFF2-40B4-BE49-F238E27FC236}">
                  <a16:creationId xmlns:a16="http://schemas.microsoft.com/office/drawing/2014/main" id="{FD28F708-268A-4790-8F04-E92B3B2B53A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fech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53950" y="533400"/>
              <a:ext cx="1828800" cy="3457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133349</xdr:colOff>
      <xdr:row>11</xdr:row>
      <xdr:rowOff>142875</xdr:rowOff>
    </xdr:from>
    <xdr:to>
      <xdr:col>3</xdr:col>
      <xdr:colOff>581024</xdr:colOff>
      <xdr:row>13</xdr:row>
      <xdr:rowOff>95250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C0A2868A-80B2-4CC8-B705-160235A63705}"/>
            </a:ext>
          </a:extLst>
        </xdr:cNvPr>
        <xdr:cNvSpPr txBox="1"/>
      </xdr:nvSpPr>
      <xdr:spPr>
        <a:xfrm>
          <a:off x="133349" y="223837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MESES</a:t>
          </a:r>
        </a:p>
      </xdr:txBody>
    </xdr:sp>
    <xdr:clientData/>
  </xdr:twoCellAnchor>
  <xdr:twoCellAnchor>
    <xdr:from>
      <xdr:col>0</xdr:col>
      <xdr:colOff>276222</xdr:colOff>
      <xdr:row>14</xdr:row>
      <xdr:rowOff>0</xdr:rowOff>
    </xdr:from>
    <xdr:to>
      <xdr:col>1</xdr:col>
      <xdr:colOff>685799</xdr:colOff>
      <xdr:row>15</xdr:row>
      <xdr:rowOff>85725</xdr:rowOff>
    </xdr:to>
    <xdr:sp macro="[0]!ENERO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2C7D256A-EA73-48C4-9FD1-8EF9C4F256ED}"/>
            </a:ext>
          </a:extLst>
        </xdr:cNvPr>
        <xdr:cNvSpPr/>
      </xdr:nvSpPr>
      <xdr:spPr>
        <a:xfrm>
          <a:off x="276222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ENERO</a:t>
          </a:r>
        </a:p>
      </xdr:txBody>
    </xdr:sp>
    <xdr:clientData/>
  </xdr:twoCellAnchor>
  <xdr:twoCellAnchor>
    <xdr:from>
      <xdr:col>1</xdr:col>
      <xdr:colOff>761997</xdr:colOff>
      <xdr:row>14</xdr:row>
      <xdr:rowOff>0</xdr:rowOff>
    </xdr:from>
    <xdr:to>
      <xdr:col>3</xdr:col>
      <xdr:colOff>409574</xdr:colOff>
      <xdr:row>15</xdr:row>
      <xdr:rowOff>85725</xdr:rowOff>
    </xdr:to>
    <xdr:sp macro="[0]!FEBRERO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409ABA19-7858-4668-8640-BA7937194483}"/>
            </a:ext>
          </a:extLst>
        </xdr:cNvPr>
        <xdr:cNvSpPr/>
      </xdr:nvSpPr>
      <xdr:spPr>
        <a:xfrm>
          <a:off x="1523997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FEBRERO</a:t>
          </a:r>
        </a:p>
      </xdr:txBody>
    </xdr:sp>
    <xdr:clientData/>
  </xdr:twoCellAnchor>
  <xdr:twoCellAnchor>
    <xdr:from>
      <xdr:col>0</xdr:col>
      <xdr:colOff>266697</xdr:colOff>
      <xdr:row>15</xdr:row>
      <xdr:rowOff>180975</xdr:rowOff>
    </xdr:from>
    <xdr:to>
      <xdr:col>1</xdr:col>
      <xdr:colOff>676274</xdr:colOff>
      <xdr:row>17</xdr:row>
      <xdr:rowOff>76200</xdr:rowOff>
    </xdr:to>
    <xdr:sp macro="[0]!MARZO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99078389-CD1D-404E-8C0E-59CE24C5D1FA}"/>
            </a:ext>
          </a:extLst>
        </xdr:cNvPr>
        <xdr:cNvSpPr/>
      </xdr:nvSpPr>
      <xdr:spPr>
        <a:xfrm>
          <a:off x="266697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MARZO</a:t>
          </a:r>
        </a:p>
      </xdr:txBody>
    </xdr:sp>
    <xdr:clientData/>
  </xdr:twoCellAnchor>
  <xdr:twoCellAnchor>
    <xdr:from>
      <xdr:col>1</xdr:col>
      <xdr:colOff>752472</xdr:colOff>
      <xdr:row>15</xdr:row>
      <xdr:rowOff>180975</xdr:rowOff>
    </xdr:from>
    <xdr:to>
      <xdr:col>3</xdr:col>
      <xdr:colOff>400049</xdr:colOff>
      <xdr:row>17</xdr:row>
      <xdr:rowOff>76200</xdr:rowOff>
    </xdr:to>
    <xdr:sp macro="[0]!ABRIL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A8E4ED40-16AC-4418-86EE-88D95FABE10B}"/>
            </a:ext>
          </a:extLst>
        </xdr:cNvPr>
        <xdr:cNvSpPr/>
      </xdr:nvSpPr>
      <xdr:spPr>
        <a:xfrm>
          <a:off x="1514472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ABRIL</a:t>
          </a:r>
        </a:p>
      </xdr:txBody>
    </xdr:sp>
    <xdr:clientData/>
  </xdr:twoCellAnchor>
  <xdr:twoCellAnchor>
    <xdr:from>
      <xdr:col>0</xdr:col>
      <xdr:colOff>276222</xdr:colOff>
      <xdr:row>17</xdr:row>
      <xdr:rowOff>171450</xdr:rowOff>
    </xdr:from>
    <xdr:to>
      <xdr:col>1</xdr:col>
      <xdr:colOff>685799</xdr:colOff>
      <xdr:row>19</xdr:row>
      <xdr:rowOff>66675</xdr:rowOff>
    </xdr:to>
    <xdr:sp macro="[0]!MAYO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3CDA4B7A-2094-4C06-8C13-13321CB8980C}"/>
            </a:ext>
          </a:extLst>
        </xdr:cNvPr>
        <xdr:cNvSpPr/>
      </xdr:nvSpPr>
      <xdr:spPr>
        <a:xfrm>
          <a:off x="276222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MAYO</a:t>
          </a:r>
        </a:p>
      </xdr:txBody>
    </xdr:sp>
    <xdr:clientData/>
  </xdr:twoCellAnchor>
  <xdr:twoCellAnchor>
    <xdr:from>
      <xdr:col>1</xdr:col>
      <xdr:colOff>761997</xdr:colOff>
      <xdr:row>17</xdr:row>
      <xdr:rowOff>171450</xdr:rowOff>
    </xdr:from>
    <xdr:to>
      <xdr:col>3</xdr:col>
      <xdr:colOff>409574</xdr:colOff>
      <xdr:row>19</xdr:row>
      <xdr:rowOff>66675</xdr:rowOff>
    </xdr:to>
    <xdr:sp macro="[0]!JUNIO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FBFD0006-05FC-44D0-BF8D-A97964EC66DB}"/>
            </a:ext>
          </a:extLst>
        </xdr:cNvPr>
        <xdr:cNvSpPr/>
      </xdr:nvSpPr>
      <xdr:spPr>
        <a:xfrm>
          <a:off x="1523997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JUNIO</a:t>
          </a:r>
        </a:p>
      </xdr:txBody>
    </xdr:sp>
    <xdr:clientData/>
  </xdr:twoCellAnchor>
  <xdr:twoCellAnchor>
    <xdr:from>
      <xdr:col>0</xdr:col>
      <xdr:colOff>266697</xdr:colOff>
      <xdr:row>19</xdr:row>
      <xdr:rowOff>161925</xdr:rowOff>
    </xdr:from>
    <xdr:to>
      <xdr:col>1</xdr:col>
      <xdr:colOff>676274</xdr:colOff>
      <xdr:row>21</xdr:row>
      <xdr:rowOff>57150</xdr:rowOff>
    </xdr:to>
    <xdr:sp macro="[0]!JULIO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1A2DCF0F-7F20-4898-99D1-4B45185CAB51}"/>
            </a:ext>
          </a:extLst>
        </xdr:cNvPr>
        <xdr:cNvSpPr/>
      </xdr:nvSpPr>
      <xdr:spPr>
        <a:xfrm>
          <a:off x="266697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JULIO</a:t>
          </a:r>
        </a:p>
      </xdr:txBody>
    </xdr:sp>
    <xdr:clientData/>
  </xdr:twoCellAnchor>
  <xdr:twoCellAnchor>
    <xdr:from>
      <xdr:col>1</xdr:col>
      <xdr:colOff>752472</xdr:colOff>
      <xdr:row>19</xdr:row>
      <xdr:rowOff>161925</xdr:rowOff>
    </xdr:from>
    <xdr:to>
      <xdr:col>3</xdr:col>
      <xdr:colOff>400049</xdr:colOff>
      <xdr:row>21</xdr:row>
      <xdr:rowOff>57150</xdr:rowOff>
    </xdr:to>
    <xdr:sp macro="[0]!AGOSTO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E78FAC06-EB29-4682-8A61-D49D13F4B7C2}"/>
            </a:ext>
          </a:extLst>
        </xdr:cNvPr>
        <xdr:cNvSpPr/>
      </xdr:nvSpPr>
      <xdr:spPr>
        <a:xfrm>
          <a:off x="1514472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AGOSTO</a:t>
          </a:r>
        </a:p>
      </xdr:txBody>
    </xdr:sp>
    <xdr:clientData/>
  </xdr:twoCellAnchor>
  <xdr:twoCellAnchor>
    <xdr:from>
      <xdr:col>0</xdr:col>
      <xdr:colOff>276222</xdr:colOff>
      <xdr:row>21</xdr:row>
      <xdr:rowOff>152400</xdr:rowOff>
    </xdr:from>
    <xdr:to>
      <xdr:col>1</xdr:col>
      <xdr:colOff>685799</xdr:colOff>
      <xdr:row>23</xdr:row>
      <xdr:rowOff>47625</xdr:rowOff>
    </xdr:to>
    <xdr:sp macro="[0]!SEPTIEMBRE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8E5A8DEC-A8C0-4DBC-B7CB-7B5FA050F4D2}"/>
            </a:ext>
          </a:extLst>
        </xdr:cNvPr>
        <xdr:cNvSpPr/>
      </xdr:nvSpPr>
      <xdr:spPr>
        <a:xfrm>
          <a:off x="276222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SEPTIEMBRE</a:t>
          </a:r>
        </a:p>
      </xdr:txBody>
    </xdr:sp>
    <xdr:clientData/>
  </xdr:twoCellAnchor>
  <xdr:twoCellAnchor>
    <xdr:from>
      <xdr:col>1</xdr:col>
      <xdr:colOff>761997</xdr:colOff>
      <xdr:row>21</xdr:row>
      <xdr:rowOff>152400</xdr:rowOff>
    </xdr:from>
    <xdr:to>
      <xdr:col>3</xdr:col>
      <xdr:colOff>409574</xdr:colOff>
      <xdr:row>23</xdr:row>
      <xdr:rowOff>47625</xdr:rowOff>
    </xdr:to>
    <xdr:sp macro="[0]!OCTUBRE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4BAECA45-AEAD-49F6-B0C0-F25B228EFA07}"/>
            </a:ext>
          </a:extLst>
        </xdr:cNvPr>
        <xdr:cNvSpPr/>
      </xdr:nvSpPr>
      <xdr:spPr>
        <a:xfrm>
          <a:off x="1523997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OCTUBRE</a:t>
          </a:r>
        </a:p>
      </xdr:txBody>
    </xdr:sp>
    <xdr:clientData/>
  </xdr:twoCellAnchor>
  <xdr:twoCellAnchor>
    <xdr:from>
      <xdr:col>0</xdr:col>
      <xdr:colOff>266697</xdr:colOff>
      <xdr:row>23</xdr:row>
      <xdr:rowOff>142875</xdr:rowOff>
    </xdr:from>
    <xdr:to>
      <xdr:col>1</xdr:col>
      <xdr:colOff>676274</xdr:colOff>
      <xdr:row>25</xdr:row>
      <xdr:rowOff>38100</xdr:rowOff>
    </xdr:to>
    <xdr:sp macro="[0]!NOVIEMBRE" textlink="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57A607ED-F2C6-4635-8BC7-3B2B1F2D1AAE}"/>
            </a:ext>
          </a:extLst>
        </xdr:cNvPr>
        <xdr:cNvSpPr/>
      </xdr:nvSpPr>
      <xdr:spPr>
        <a:xfrm>
          <a:off x="266697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NOVIEMBRE</a:t>
          </a:r>
        </a:p>
      </xdr:txBody>
    </xdr:sp>
    <xdr:clientData/>
  </xdr:twoCellAnchor>
  <xdr:twoCellAnchor>
    <xdr:from>
      <xdr:col>1</xdr:col>
      <xdr:colOff>752472</xdr:colOff>
      <xdr:row>23</xdr:row>
      <xdr:rowOff>142875</xdr:rowOff>
    </xdr:from>
    <xdr:to>
      <xdr:col>3</xdr:col>
      <xdr:colOff>400049</xdr:colOff>
      <xdr:row>25</xdr:row>
      <xdr:rowOff>38100</xdr:rowOff>
    </xdr:to>
    <xdr:sp macro="[0]!DICIEMBRE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1E525F8F-C8AF-4104-8604-C0147946419E}"/>
            </a:ext>
          </a:extLst>
        </xdr:cNvPr>
        <xdr:cNvSpPr/>
      </xdr:nvSpPr>
      <xdr:spPr>
        <a:xfrm>
          <a:off x="1514472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DICIEMBRE</a:t>
          </a:r>
        </a:p>
      </xdr:txBody>
    </xdr:sp>
    <xdr:clientData/>
  </xdr:twoCellAnchor>
  <xdr:twoCellAnchor>
    <xdr:from>
      <xdr:col>2</xdr:col>
      <xdr:colOff>638173</xdr:colOff>
      <xdr:row>8</xdr:row>
      <xdr:rowOff>123825</xdr:rowOff>
    </xdr:from>
    <xdr:to>
      <xdr:col>3</xdr:col>
      <xdr:colOff>619125</xdr:colOff>
      <xdr:row>10</xdr:row>
      <xdr:rowOff>161925</xdr:rowOff>
    </xdr:to>
    <xdr:sp macro="[0]!TODOSAÑOS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568A1E33-7A28-4D27-B468-89982603A45B}"/>
            </a:ext>
          </a:extLst>
        </xdr:cNvPr>
        <xdr:cNvSpPr/>
      </xdr:nvSpPr>
      <xdr:spPr>
        <a:xfrm>
          <a:off x="2162173" y="1647825"/>
          <a:ext cx="742952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TODAS</a:t>
          </a:r>
        </a:p>
      </xdr:txBody>
    </xdr:sp>
    <xdr:clientData/>
  </xdr:twoCellAnchor>
  <xdr:twoCellAnchor>
    <xdr:from>
      <xdr:col>0</xdr:col>
      <xdr:colOff>733422</xdr:colOff>
      <xdr:row>26</xdr:row>
      <xdr:rowOff>28575</xdr:rowOff>
    </xdr:from>
    <xdr:to>
      <xdr:col>2</xdr:col>
      <xdr:colOff>380999</xdr:colOff>
      <xdr:row>29</xdr:row>
      <xdr:rowOff>76200</xdr:rowOff>
    </xdr:to>
    <xdr:sp macro="[0]!TODOSMESES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3DE6FA30-2C96-4D6A-A7B2-E6F1641AD0A6}"/>
            </a:ext>
          </a:extLst>
        </xdr:cNvPr>
        <xdr:cNvSpPr/>
      </xdr:nvSpPr>
      <xdr:spPr>
        <a:xfrm>
          <a:off x="733422" y="4981575"/>
          <a:ext cx="1171577" cy="6191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TODOS</a:t>
          </a:r>
          <a:r>
            <a:rPr lang="en-US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LOS MESES</a:t>
          </a:r>
          <a:endParaRPr lang="en-US" sz="14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152400</xdr:colOff>
      <xdr:row>66</xdr:row>
      <xdr:rowOff>0</xdr:rowOff>
    </xdr:from>
    <xdr:to>
      <xdr:col>8</xdr:col>
      <xdr:colOff>228600</xdr:colOff>
      <xdr:row>85</xdr:row>
      <xdr:rowOff>114300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CD44DBE-2053-4B89-BBF7-5BAD034321E5}"/>
            </a:ext>
          </a:extLst>
        </xdr:cNvPr>
        <xdr:cNvSpPr txBox="1"/>
      </xdr:nvSpPr>
      <xdr:spPr>
        <a:xfrm>
          <a:off x="3200400" y="12573000"/>
          <a:ext cx="3124200" cy="3733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AR" sz="1100"/>
        </a:p>
      </xdr:txBody>
    </xdr:sp>
    <xdr:clientData/>
  </xdr:twoCellAnchor>
  <xdr:twoCellAnchor>
    <xdr:from>
      <xdr:col>7</xdr:col>
      <xdr:colOff>190499</xdr:colOff>
      <xdr:row>6</xdr:row>
      <xdr:rowOff>180975</xdr:rowOff>
    </xdr:from>
    <xdr:to>
      <xdr:col>8</xdr:col>
      <xdr:colOff>666750</xdr:colOff>
      <xdr:row>8</xdr:row>
      <xdr:rowOff>133350</xdr:rowOff>
    </xdr:to>
    <xdr:sp macro="" textlink="ANALISIS!B2">
      <xdr:nvSpPr>
        <xdr:cNvPr id="57" name="CuadroTexto 56">
          <a:extLst>
            <a:ext uri="{FF2B5EF4-FFF2-40B4-BE49-F238E27FC236}">
              <a16:creationId xmlns:a16="http://schemas.microsoft.com/office/drawing/2014/main" id="{B9FA1C2B-73C1-48EF-BE40-6463CA7986FA}"/>
            </a:ext>
          </a:extLst>
        </xdr:cNvPr>
        <xdr:cNvSpPr txBox="1"/>
      </xdr:nvSpPr>
      <xdr:spPr>
        <a:xfrm>
          <a:off x="5524499" y="1323975"/>
          <a:ext cx="1238251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73D74-FE74-4336-9DD8-F2BC0206E0F5}" type="TxLink">
            <a:rPr lang="en-US" sz="1800" b="1" i="0" u="none" strike="noStrike">
              <a:solidFill>
                <a:srgbClr val="990033"/>
              </a:solidFill>
              <a:latin typeface="Calibri"/>
              <a:ea typeface="Calibri"/>
              <a:cs typeface="Calibri"/>
            </a:rPr>
            <a:t>2021</a:t>
          </a:fld>
          <a:endParaRPr lang="es-AR" sz="1800" b="1">
            <a:solidFill>
              <a:srgbClr val="990033"/>
            </a:solidFill>
          </a:endParaRPr>
        </a:p>
      </xdr:txBody>
    </xdr:sp>
    <xdr:clientData/>
  </xdr:twoCellAnchor>
  <xdr:twoCellAnchor>
    <xdr:from>
      <xdr:col>4</xdr:col>
      <xdr:colOff>647699</xdr:colOff>
      <xdr:row>6</xdr:row>
      <xdr:rowOff>180975</xdr:rowOff>
    </xdr:from>
    <xdr:to>
      <xdr:col>7</xdr:col>
      <xdr:colOff>219075</xdr:colOff>
      <xdr:row>8</xdr:row>
      <xdr:rowOff>133350</xdr:rowOff>
    </xdr:to>
    <xdr:sp macro="" textlink="ANALISIS!A2">
      <xdr:nvSpPr>
        <xdr:cNvPr id="58" name="CuadroTexto 57">
          <a:extLst>
            <a:ext uri="{FF2B5EF4-FFF2-40B4-BE49-F238E27FC236}">
              <a16:creationId xmlns:a16="http://schemas.microsoft.com/office/drawing/2014/main" id="{1D90B1E3-05B5-40EA-84BE-DAEBFEECB1CA}"/>
            </a:ext>
          </a:extLst>
        </xdr:cNvPr>
        <xdr:cNvSpPr txBox="1"/>
      </xdr:nvSpPr>
      <xdr:spPr>
        <a:xfrm>
          <a:off x="3695699" y="1323975"/>
          <a:ext cx="1857376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B42767-AF84-4B2E-AD93-022BD076672D}" type="TxLink">
            <a:rPr lang="en-US" sz="1800" b="1" i="0" u="none" strike="noStrike">
              <a:solidFill>
                <a:srgbClr val="990033"/>
              </a:solidFill>
              <a:latin typeface="Calibri"/>
              <a:ea typeface="Calibri"/>
              <a:cs typeface="Calibri"/>
            </a:rPr>
            <a:t>(Varios elementos)</a:t>
          </a:fld>
          <a:endParaRPr lang="es-AR" sz="1800" b="1">
            <a:solidFill>
              <a:srgbClr val="990033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2</xdr:row>
      <xdr:rowOff>104775</xdr:rowOff>
    </xdr:from>
    <xdr:to>
      <xdr:col>9</xdr:col>
      <xdr:colOff>76199</xdr:colOff>
      <xdr:row>5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DD2A2F2-CA32-4507-8C16-9FBC280FCA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513" t="38095" r="-537" b="21429"/>
        <a:stretch/>
      </xdr:blipFill>
      <xdr:spPr>
        <a:xfrm>
          <a:off x="4362450" y="485775"/>
          <a:ext cx="2571749" cy="485775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0</xdr:row>
      <xdr:rowOff>57150</xdr:rowOff>
    </xdr:from>
    <xdr:to>
      <xdr:col>5</xdr:col>
      <xdr:colOff>447675</xdr:colOff>
      <xdr:row>6</xdr:row>
      <xdr:rowOff>59517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4273E82-D69A-48DA-86EC-7159C96FF4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8260"/>
        <a:stretch/>
      </xdr:blipFill>
      <xdr:spPr>
        <a:xfrm>
          <a:off x="3067050" y="57150"/>
          <a:ext cx="1190625" cy="114536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0</xdr:row>
      <xdr:rowOff>28575</xdr:rowOff>
    </xdr:from>
    <xdr:to>
      <xdr:col>3</xdr:col>
      <xdr:colOff>590549</xdr:colOff>
      <xdr:row>3</xdr:row>
      <xdr:rowOff>85725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F4D3A4D-789E-4456-9B58-B96D600253E3}"/>
            </a:ext>
          </a:extLst>
        </xdr:cNvPr>
        <xdr:cNvSpPr txBox="1"/>
      </xdr:nvSpPr>
      <xdr:spPr>
        <a:xfrm>
          <a:off x="142874" y="28575"/>
          <a:ext cx="273367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chemeClr val="bg1"/>
              </a:solidFill>
            </a:rPr>
            <a:t>CANTIDAD</a:t>
          </a:r>
          <a:r>
            <a:rPr lang="es-AR" sz="1800" b="1" baseline="0">
              <a:solidFill>
                <a:schemeClr val="bg1"/>
              </a:solidFill>
            </a:rPr>
            <a:t> DE TRABAJOS </a:t>
          </a:r>
          <a:endParaRPr lang="es-A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152399</xdr:colOff>
      <xdr:row>2</xdr:row>
      <xdr:rowOff>76200</xdr:rowOff>
    </xdr:from>
    <xdr:to>
      <xdr:col>2</xdr:col>
      <xdr:colOff>438150</xdr:colOff>
      <xdr:row>5</xdr:row>
      <xdr:rowOff>133350</xdr:rowOff>
    </xdr:to>
    <xdr:sp macro="" textlink="ANALISIS!B35">
      <xdr:nvSpPr>
        <xdr:cNvPr id="5" name="CuadroTexto 4">
          <a:extLst>
            <a:ext uri="{FF2B5EF4-FFF2-40B4-BE49-F238E27FC236}">
              <a16:creationId xmlns:a16="http://schemas.microsoft.com/office/drawing/2014/main" id="{3A64D61D-FF29-4FC4-AA9A-2B0278307FCB}"/>
            </a:ext>
          </a:extLst>
        </xdr:cNvPr>
        <xdr:cNvSpPr txBox="1"/>
      </xdr:nvSpPr>
      <xdr:spPr>
        <a:xfrm>
          <a:off x="914399" y="457200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02494B0-3FCE-4FDA-81E6-F5EBBCE100E8}" type="TxLink">
            <a:rPr lang="en-US" sz="3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</a:t>
          </a:fld>
          <a:endParaRPr lang="en-US" sz="3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114299</xdr:colOff>
      <xdr:row>6</xdr:row>
      <xdr:rowOff>161925</xdr:rowOff>
    </xdr:from>
    <xdr:to>
      <xdr:col>3</xdr:col>
      <xdr:colOff>561974</xdr:colOff>
      <xdr:row>8</xdr:row>
      <xdr:rowOff>114300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1162DFD1-7A45-4A02-9574-B99D6747784E}"/>
            </a:ext>
          </a:extLst>
        </xdr:cNvPr>
        <xdr:cNvSpPr txBox="1"/>
      </xdr:nvSpPr>
      <xdr:spPr>
        <a:xfrm>
          <a:off x="114299" y="130492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AÑOS</a:t>
          </a:r>
        </a:p>
      </xdr:txBody>
    </xdr:sp>
    <xdr:clientData/>
  </xdr:twoCellAnchor>
  <xdr:twoCellAnchor>
    <xdr:from>
      <xdr:col>0</xdr:col>
      <xdr:colOff>180973</xdr:colOff>
      <xdr:row>8</xdr:row>
      <xdr:rowOff>123825</xdr:rowOff>
    </xdr:from>
    <xdr:to>
      <xdr:col>1</xdr:col>
      <xdr:colOff>19050</xdr:colOff>
      <xdr:row>10</xdr:row>
      <xdr:rowOff>161925</xdr:rowOff>
    </xdr:to>
    <xdr:sp macro="[0]!VENTIUNO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13177C0-0CF1-43A3-BE73-3A593B651511}"/>
            </a:ext>
          </a:extLst>
        </xdr:cNvPr>
        <xdr:cNvSpPr/>
      </xdr:nvSpPr>
      <xdr:spPr>
        <a:xfrm>
          <a:off x="18097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2021</a:t>
          </a:r>
        </a:p>
      </xdr:txBody>
    </xdr:sp>
    <xdr:clientData/>
  </xdr:twoCellAnchor>
  <xdr:twoCellAnchor>
    <xdr:from>
      <xdr:col>1</xdr:col>
      <xdr:colOff>76198</xdr:colOff>
      <xdr:row>8</xdr:row>
      <xdr:rowOff>123825</xdr:rowOff>
    </xdr:from>
    <xdr:to>
      <xdr:col>1</xdr:col>
      <xdr:colOff>676275</xdr:colOff>
      <xdr:row>10</xdr:row>
      <xdr:rowOff>161925</xdr:rowOff>
    </xdr:to>
    <xdr:sp macro="[0]!VENTIDOS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740E780-4665-422D-9AC3-A700EC590EDF}"/>
            </a:ext>
          </a:extLst>
        </xdr:cNvPr>
        <xdr:cNvSpPr/>
      </xdr:nvSpPr>
      <xdr:spPr>
        <a:xfrm>
          <a:off x="838198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2022</a:t>
          </a:r>
        </a:p>
      </xdr:txBody>
    </xdr:sp>
    <xdr:clientData/>
  </xdr:twoCellAnchor>
  <xdr:twoCellAnchor>
    <xdr:from>
      <xdr:col>1</xdr:col>
      <xdr:colOff>733423</xdr:colOff>
      <xdr:row>8</xdr:row>
      <xdr:rowOff>123825</xdr:rowOff>
    </xdr:from>
    <xdr:to>
      <xdr:col>2</xdr:col>
      <xdr:colOff>571500</xdr:colOff>
      <xdr:row>10</xdr:row>
      <xdr:rowOff>161925</xdr:rowOff>
    </xdr:to>
    <xdr:sp macro="[0]!VENTITRES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BD075407-F795-490B-BEB2-B2A7269F1F51}"/>
            </a:ext>
          </a:extLst>
        </xdr:cNvPr>
        <xdr:cNvSpPr/>
      </xdr:nvSpPr>
      <xdr:spPr>
        <a:xfrm>
          <a:off x="1495423" y="1647825"/>
          <a:ext cx="600077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2023</a:t>
          </a:r>
        </a:p>
      </xdr:txBody>
    </xdr:sp>
    <xdr:clientData/>
  </xdr:twoCellAnchor>
  <xdr:twoCellAnchor editAs="oneCell">
    <xdr:from>
      <xdr:col>0</xdr:col>
      <xdr:colOff>142875</xdr:colOff>
      <xdr:row>66</xdr:row>
      <xdr:rowOff>76200</xdr:rowOff>
    </xdr:from>
    <xdr:to>
      <xdr:col>2</xdr:col>
      <xdr:colOff>447675</xdr:colOff>
      <xdr:row>72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año fecha 1">
              <a:extLst>
                <a:ext uri="{FF2B5EF4-FFF2-40B4-BE49-F238E27FC236}">
                  <a16:creationId xmlns:a16="http://schemas.microsoft.com/office/drawing/2014/main" id="{507904E3-E30F-4056-95F6-68DA3656D2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875" y="12649200"/>
              <a:ext cx="1828800" cy="1190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161925</xdr:colOff>
      <xdr:row>66</xdr:row>
      <xdr:rowOff>133350</xdr:rowOff>
    </xdr:from>
    <xdr:to>
      <xdr:col>2</xdr:col>
      <xdr:colOff>466725</xdr:colOff>
      <xdr:row>84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mes fecha 1">
              <a:extLst>
                <a:ext uri="{FF2B5EF4-FFF2-40B4-BE49-F238E27FC236}">
                  <a16:creationId xmlns:a16="http://schemas.microsoft.com/office/drawing/2014/main" id="{A76C5D95-C4C9-40B5-9A26-C2E74ABA33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5" y="12706350"/>
              <a:ext cx="1828800" cy="3457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133349</xdr:colOff>
      <xdr:row>11</xdr:row>
      <xdr:rowOff>142875</xdr:rowOff>
    </xdr:from>
    <xdr:to>
      <xdr:col>3</xdr:col>
      <xdr:colOff>581024</xdr:colOff>
      <xdr:row>13</xdr:row>
      <xdr:rowOff>95250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E16E850D-87D8-45B3-BA3A-D1FFA9FE33E2}"/>
            </a:ext>
          </a:extLst>
        </xdr:cNvPr>
        <xdr:cNvSpPr txBox="1"/>
      </xdr:nvSpPr>
      <xdr:spPr>
        <a:xfrm>
          <a:off x="133349" y="2238375"/>
          <a:ext cx="2733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rgbClr val="A5C49C"/>
              </a:solidFill>
            </a:rPr>
            <a:t>MESES</a:t>
          </a:r>
        </a:p>
      </xdr:txBody>
    </xdr:sp>
    <xdr:clientData/>
  </xdr:twoCellAnchor>
  <xdr:twoCellAnchor>
    <xdr:from>
      <xdr:col>0</xdr:col>
      <xdr:colOff>276222</xdr:colOff>
      <xdr:row>14</xdr:row>
      <xdr:rowOff>0</xdr:rowOff>
    </xdr:from>
    <xdr:to>
      <xdr:col>1</xdr:col>
      <xdr:colOff>685799</xdr:colOff>
      <xdr:row>15</xdr:row>
      <xdr:rowOff>85725</xdr:rowOff>
    </xdr:to>
    <xdr:sp macro="[0]!ENERO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598FD525-3E05-4C24-AC27-96FB239B40BD}"/>
            </a:ext>
          </a:extLst>
        </xdr:cNvPr>
        <xdr:cNvSpPr/>
      </xdr:nvSpPr>
      <xdr:spPr>
        <a:xfrm>
          <a:off x="276222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ENERO</a:t>
          </a:r>
        </a:p>
      </xdr:txBody>
    </xdr:sp>
    <xdr:clientData/>
  </xdr:twoCellAnchor>
  <xdr:twoCellAnchor>
    <xdr:from>
      <xdr:col>1</xdr:col>
      <xdr:colOff>761997</xdr:colOff>
      <xdr:row>14</xdr:row>
      <xdr:rowOff>0</xdr:rowOff>
    </xdr:from>
    <xdr:to>
      <xdr:col>3</xdr:col>
      <xdr:colOff>409574</xdr:colOff>
      <xdr:row>15</xdr:row>
      <xdr:rowOff>85725</xdr:rowOff>
    </xdr:to>
    <xdr:sp macro="[0]!FEBRERO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F37077F2-EDE0-4E4F-B2F9-9397EF8B7672}"/>
            </a:ext>
          </a:extLst>
        </xdr:cNvPr>
        <xdr:cNvSpPr/>
      </xdr:nvSpPr>
      <xdr:spPr>
        <a:xfrm>
          <a:off x="1523997" y="26670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FEBRERO</a:t>
          </a:r>
        </a:p>
      </xdr:txBody>
    </xdr:sp>
    <xdr:clientData/>
  </xdr:twoCellAnchor>
  <xdr:twoCellAnchor>
    <xdr:from>
      <xdr:col>0</xdr:col>
      <xdr:colOff>266697</xdr:colOff>
      <xdr:row>15</xdr:row>
      <xdr:rowOff>180975</xdr:rowOff>
    </xdr:from>
    <xdr:to>
      <xdr:col>1</xdr:col>
      <xdr:colOff>676274</xdr:colOff>
      <xdr:row>17</xdr:row>
      <xdr:rowOff>76200</xdr:rowOff>
    </xdr:to>
    <xdr:sp macro="[0]!MARZO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E5C0E058-4E33-4FD1-86E2-CF50D1B0925C}"/>
            </a:ext>
          </a:extLst>
        </xdr:cNvPr>
        <xdr:cNvSpPr/>
      </xdr:nvSpPr>
      <xdr:spPr>
        <a:xfrm>
          <a:off x="266697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MARZO</a:t>
          </a:r>
        </a:p>
      </xdr:txBody>
    </xdr:sp>
    <xdr:clientData/>
  </xdr:twoCellAnchor>
  <xdr:twoCellAnchor>
    <xdr:from>
      <xdr:col>1</xdr:col>
      <xdr:colOff>752472</xdr:colOff>
      <xdr:row>15</xdr:row>
      <xdr:rowOff>180975</xdr:rowOff>
    </xdr:from>
    <xdr:to>
      <xdr:col>3</xdr:col>
      <xdr:colOff>400049</xdr:colOff>
      <xdr:row>17</xdr:row>
      <xdr:rowOff>76200</xdr:rowOff>
    </xdr:to>
    <xdr:sp macro="[0]!ABRIL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219234C5-0E76-474F-B66B-8DDADAE401E5}"/>
            </a:ext>
          </a:extLst>
        </xdr:cNvPr>
        <xdr:cNvSpPr/>
      </xdr:nvSpPr>
      <xdr:spPr>
        <a:xfrm>
          <a:off x="1514472" y="30384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ABRIL</a:t>
          </a:r>
        </a:p>
      </xdr:txBody>
    </xdr:sp>
    <xdr:clientData/>
  </xdr:twoCellAnchor>
  <xdr:twoCellAnchor>
    <xdr:from>
      <xdr:col>0</xdr:col>
      <xdr:colOff>276222</xdr:colOff>
      <xdr:row>17</xdr:row>
      <xdr:rowOff>171450</xdr:rowOff>
    </xdr:from>
    <xdr:to>
      <xdr:col>1</xdr:col>
      <xdr:colOff>685799</xdr:colOff>
      <xdr:row>19</xdr:row>
      <xdr:rowOff>66675</xdr:rowOff>
    </xdr:to>
    <xdr:sp macro="[0]!MAYO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2A9A6033-44FA-4566-A106-E44CCE8B3248}"/>
            </a:ext>
          </a:extLst>
        </xdr:cNvPr>
        <xdr:cNvSpPr/>
      </xdr:nvSpPr>
      <xdr:spPr>
        <a:xfrm>
          <a:off x="276222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MAYO</a:t>
          </a:r>
        </a:p>
      </xdr:txBody>
    </xdr:sp>
    <xdr:clientData/>
  </xdr:twoCellAnchor>
  <xdr:twoCellAnchor>
    <xdr:from>
      <xdr:col>1</xdr:col>
      <xdr:colOff>761997</xdr:colOff>
      <xdr:row>17</xdr:row>
      <xdr:rowOff>171450</xdr:rowOff>
    </xdr:from>
    <xdr:to>
      <xdr:col>3</xdr:col>
      <xdr:colOff>409574</xdr:colOff>
      <xdr:row>19</xdr:row>
      <xdr:rowOff>66675</xdr:rowOff>
    </xdr:to>
    <xdr:sp macro="[0]!JUNIO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BDFA6B83-4F26-4B79-A2A0-0232A64B969D}"/>
            </a:ext>
          </a:extLst>
        </xdr:cNvPr>
        <xdr:cNvSpPr/>
      </xdr:nvSpPr>
      <xdr:spPr>
        <a:xfrm>
          <a:off x="1523997" y="340995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JUNIO</a:t>
          </a:r>
        </a:p>
      </xdr:txBody>
    </xdr:sp>
    <xdr:clientData/>
  </xdr:twoCellAnchor>
  <xdr:twoCellAnchor>
    <xdr:from>
      <xdr:col>0</xdr:col>
      <xdr:colOff>266697</xdr:colOff>
      <xdr:row>19</xdr:row>
      <xdr:rowOff>161925</xdr:rowOff>
    </xdr:from>
    <xdr:to>
      <xdr:col>1</xdr:col>
      <xdr:colOff>676274</xdr:colOff>
      <xdr:row>21</xdr:row>
      <xdr:rowOff>57150</xdr:rowOff>
    </xdr:to>
    <xdr:sp macro="[0]!JULIO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7C8757A5-6FDE-40F4-8965-A8801C00598E}"/>
            </a:ext>
          </a:extLst>
        </xdr:cNvPr>
        <xdr:cNvSpPr/>
      </xdr:nvSpPr>
      <xdr:spPr>
        <a:xfrm>
          <a:off x="266697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JULIO</a:t>
          </a:r>
        </a:p>
      </xdr:txBody>
    </xdr:sp>
    <xdr:clientData/>
  </xdr:twoCellAnchor>
  <xdr:twoCellAnchor>
    <xdr:from>
      <xdr:col>1</xdr:col>
      <xdr:colOff>752472</xdr:colOff>
      <xdr:row>19</xdr:row>
      <xdr:rowOff>161925</xdr:rowOff>
    </xdr:from>
    <xdr:to>
      <xdr:col>3</xdr:col>
      <xdr:colOff>400049</xdr:colOff>
      <xdr:row>21</xdr:row>
      <xdr:rowOff>57150</xdr:rowOff>
    </xdr:to>
    <xdr:sp macro="[0]!AGOSTO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4D81D53-D96B-4DE8-A679-B885B453E47F}"/>
            </a:ext>
          </a:extLst>
        </xdr:cNvPr>
        <xdr:cNvSpPr/>
      </xdr:nvSpPr>
      <xdr:spPr>
        <a:xfrm>
          <a:off x="1514472" y="378142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AGOSTO</a:t>
          </a:r>
        </a:p>
      </xdr:txBody>
    </xdr:sp>
    <xdr:clientData/>
  </xdr:twoCellAnchor>
  <xdr:twoCellAnchor>
    <xdr:from>
      <xdr:col>0</xdr:col>
      <xdr:colOff>276222</xdr:colOff>
      <xdr:row>21</xdr:row>
      <xdr:rowOff>152400</xdr:rowOff>
    </xdr:from>
    <xdr:to>
      <xdr:col>1</xdr:col>
      <xdr:colOff>685799</xdr:colOff>
      <xdr:row>23</xdr:row>
      <xdr:rowOff>47625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3D05E434-A958-4E4A-BDCD-7289CE0CBA8D}"/>
            </a:ext>
          </a:extLst>
        </xdr:cNvPr>
        <xdr:cNvSpPr/>
      </xdr:nvSpPr>
      <xdr:spPr>
        <a:xfrm>
          <a:off x="276222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SEPTIEMBRE</a:t>
          </a:r>
        </a:p>
      </xdr:txBody>
    </xdr:sp>
    <xdr:clientData/>
  </xdr:twoCellAnchor>
  <xdr:twoCellAnchor>
    <xdr:from>
      <xdr:col>1</xdr:col>
      <xdr:colOff>761997</xdr:colOff>
      <xdr:row>21</xdr:row>
      <xdr:rowOff>152400</xdr:rowOff>
    </xdr:from>
    <xdr:to>
      <xdr:col>3</xdr:col>
      <xdr:colOff>409574</xdr:colOff>
      <xdr:row>23</xdr:row>
      <xdr:rowOff>47625</xdr:rowOff>
    </xdr:to>
    <xdr:sp macro="[0]!OCTUBRE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6EC011AC-F312-42E7-BAAC-336823669E68}"/>
            </a:ext>
          </a:extLst>
        </xdr:cNvPr>
        <xdr:cNvSpPr/>
      </xdr:nvSpPr>
      <xdr:spPr>
        <a:xfrm>
          <a:off x="1523997" y="4152900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OCTUBRE</a:t>
          </a:r>
        </a:p>
      </xdr:txBody>
    </xdr:sp>
    <xdr:clientData/>
  </xdr:twoCellAnchor>
  <xdr:twoCellAnchor>
    <xdr:from>
      <xdr:col>0</xdr:col>
      <xdr:colOff>266697</xdr:colOff>
      <xdr:row>23</xdr:row>
      <xdr:rowOff>142875</xdr:rowOff>
    </xdr:from>
    <xdr:to>
      <xdr:col>1</xdr:col>
      <xdr:colOff>676274</xdr:colOff>
      <xdr:row>25</xdr:row>
      <xdr:rowOff>38100</xdr:rowOff>
    </xdr:to>
    <xdr:sp macro="[0]!NOVIEMBRE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C8C8E88C-98A2-4B46-B93F-628C759098B0}"/>
            </a:ext>
          </a:extLst>
        </xdr:cNvPr>
        <xdr:cNvSpPr/>
      </xdr:nvSpPr>
      <xdr:spPr>
        <a:xfrm>
          <a:off x="266697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NOVIEMBRE</a:t>
          </a:r>
        </a:p>
      </xdr:txBody>
    </xdr:sp>
    <xdr:clientData/>
  </xdr:twoCellAnchor>
  <xdr:twoCellAnchor>
    <xdr:from>
      <xdr:col>1</xdr:col>
      <xdr:colOff>752472</xdr:colOff>
      <xdr:row>23</xdr:row>
      <xdr:rowOff>142875</xdr:rowOff>
    </xdr:from>
    <xdr:to>
      <xdr:col>3</xdr:col>
      <xdr:colOff>400049</xdr:colOff>
      <xdr:row>25</xdr:row>
      <xdr:rowOff>38100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E88459B5-200B-4AE2-BD4B-E29122A43CD0}"/>
            </a:ext>
          </a:extLst>
        </xdr:cNvPr>
        <xdr:cNvSpPr/>
      </xdr:nvSpPr>
      <xdr:spPr>
        <a:xfrm>
          <a:off x="1514472" y="4524375"/>
          <a:ext cx="1171577" cy="2762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DICIEMBRE</a:t>
          </a:r>
        </a:p>
      </xdr:txBody>
    </xdr:sp>
    <xdr:clientData/>
  </xdr:twoCellAnchor>
  <xdr:twoCellAnchor>
    <xdr:from>
      <xdr:col>2</xdr:col>
      <xdr:colOff>638173</xdr:colOff>
      <xdr:row>8</xdr:row>
      <xdr:rowOff>123825</xdr:rowOff>
    </xdr:from>
    <xdr:to>
      <xdr:col>3</xdr:col>
      <xdr:colOff>619125</xdr:colOff>
      <xdr:row>10</xdr:row>
      <xdr:rowOff>161925</xdr:rowOff>
    </xdr:to>
    <xdr:sp macro="[0]!TODOSAÑOS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CBE9C390-AA33-4A4C-BC44-6581E71E262C}"/>
            </a:ext>
          </a:extLst>
        </xdr:cNvPr>
        <xdr:cNvSpPr/>
      </xdr:nvSpPr>
      <xdr:spPr>
        <a:xfrm>
          <a:off x="2162173" y="1647825"/>
          <a:ext cx="742952" cy="419100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TODAS</a:t>
          </a:r>
        </a:p>
      </xdr:txBody>
    </xdr:sp>
    <xdr:clientData/>
  </xdr:twoCellAnchor>
  <xdr:twoCellAnchor>
    <xdr:from>
      <xdr:col>0</xdr:col>
      <xdr:colOff>733422</xdr:colOff>
      <xdr:row>26</xdr:row>
      <xdr:rowOff>28575</xdr:rowOff>
    </xdr:from>
    <xdr:to>
      <xdr:col>2</xdr:col>
      <xdr:colOff>380999</xdr:colOff>
      <xdr:row>29</xdr:row>
      <xdr:rowOff>76200</xdr:rowOff>
    </xdr:to>
    <xdr:sp macro="[0]!TODOSMESES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27F724E8-A358-48BD-B4A0-8D444372685D}"/>
            </a:ext>
          </a:extLst>
        </xdr:cNvPr>
        <xdr:cNvSpPr/>
      </xdr:nvSpPr>
      <xdr:spPr>
        <a:xfrm>
          <a:off x="733422" y="4981575"/>
          <a:ext cx="1171577" cy="619125"/>
        </a:xfrm>
        <a:prstGeom prst="roundRect">
          <a:avLst/>
        </a:prstGeom>
        <a:noFill/>
        <a:ln w="317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TODOS</a:t>
          </a:r>
          <a:r>
            <a:rPr lang="en-US" sz="14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LOS MESES</a:t>
          </a:r>
          <a:endParaRPr lang="en-US" sz="14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85725</xdr:colOff>
      <xdr:row>66</xdr:row>
      <xdr:rowOff>57150</xdr:rowOff>
    </xdr:from>
    <xdr:to>
      <xdr:col>4</xdr:col>
      <xdr:colOff>161925</xdr:colOff>
      <xdr:row>85</xdr:row>
      <xdr:rowOff>171450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B588B8EF-D7AA-4523-A3D5-752308CCC3BD}"/>
            </a:ext>
          </a:extLst>
        </xdr:cNvPr>
        <xdr:cNvSpPr txBox="1"/>
      </xdr:nvSpPr>
      <xdr:spPr>
        <a:xfrm>
          <a:off x="85725" y="12630150"/>
          <a:ext cx="3124200" cy="3733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AR" sz="1100"/>
        </a:p>
      </xdr:txBody>
    </xdr:sp>
    <xdr:clientData/>
  </xdr:twoCellAnchor>
  <xdr:twoCellAnchor>
    <xdr:from>
      <xdr:col>11</xdr:col>
      <xdr:colOff>571500</xdr:colOff>
      <xdr:row>10</xdr:row>
      <xdr:rowOff>142875</xdr:rowOff>
    </xdr:from>
    <xdr:to>
      <xdr:col>17</xdr:col>
      <xdr:colOff>28575</xdr:colOff>
      <xdr:row>24</xdr:row>
      <xdr:rowOff>66675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449674EB-C1DB-4499-A1FC-2DB0198837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314325</xdr:colOff>
      <xdr:row>8</xdr:row>
      <xdr:rowOff>9526</xdr:rowOff>
    </xdr:from>
    <xdr:to>
      <xdr:col>17</xdr:col>
      <xdr:colOff>47625</xdr:colOff>
      <xdr:row>10</xdr:row>
      <xdr:rowOff>104776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13D9FAD7-9FAA-4FF5-8511-626F65FFC545}"/>
            </a:ext>
          </a:extLst>
        </xdr:cNvPr>
        <xdr:cNvSpPr txBox="1"/>
      </xdr:nvSpPr>
      <xdr:spPr>
        <a:xfrm>
          <a:off x="8696325" y="1533526"/>
          <a:ext cx="4305300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800" b="1">
              <a:solidFill>
                <a:sysClr val="windowText" lastClr="000000"/>
              </a:solidFill>
            </a:rPr>
            <a:t>PRODUCTIVIDAD TRABAJOS FINALIZADOS</a:t>
          </a:r>
        </a:p>
      </xdr:txBody>
    </xdr:sp>
    <xdr:clientData/>
  </xdr:twoCellAnchor>
  <xdr:twoCellAnchor>
    <xdr:from>
      <xdr:col>5</xdr:col>
      <xdr:colOff>257175</xdr:colOff>
      <xdr:row>23</xdr:row>
      <xdr:rowOff>171449</xdr:rowOff>
    </xdr:from>
    <xdr:to>
      <xdr:col>8</xdr:col>
      <xdr:colOff>733425</xdr:colOff>
      <xdr:row>34</xdr:row>
      <xdr:rowOff>66674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CE38DF04-5A3F-4C60-9C2B-A3D252C3F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733425</xdr:colOff>
      <xdr:row>22</xdr:row>
      <xdr:rowOff>19051</xdr:rowOff>
    </xdr:from>
    <xdr:to>
      <xdr:col>8</xdr:col>
      <xdr:colOff>114300</xdr:colOff>
      <xdr:row>24</xdr:row>
      <xdr:rowOff>57150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D84A2DBC-07BB-4067-8A33-9E52EBF59A5F}"/>
            </a:ext>
          </a:extLst>
        </xdr:cNvPr>
        <xdr:cNvSpPr txBox="1"/>
      </xdr:nvSpPr>
      <xdr:spPr>
        <a:xfrm>
          <a:off x="4543425" y="4210051"/>
          <a:ext cx="1666875" cy="419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800" b="1">
              <a:solidFill>
                <a:sysClr val="windowText" lastClr="000000"/>
              </a:solidFill>
            </a:rPr>
            <a:t>ALTAS</a:t>
          </a:r>
        </a:p>
      </xdr:txBody>
    </xdr:sp>
    <xdr:clientData/>
  </xdr:twoCellAnchor>
  <xdr:twoCellAnchor>
    <xdr:from>
      <xdr:col>13</xdr:col>
      <xdr:colOff>438149</xdr:colOff>
      <xdr:row>17</xdr:row>
      <xdr:rowOff>161925</xdr:rowOff>
    </xdr:from>
    <xdr:to>
      <xdr:col>14</xdr:col>
      <xdr:colOff>723900</xdr:colOff>
      <xdr:row>21</xdr:row>
      <xdr:rowOff>28575</xdr:rowOff>
    </xdr:to>
    <xdr:sp macro="" textlink="'ANALISIS-KPI'!C18">
      <xdr:nvSpPr>
        <xdr:cNvPr id="45" name="CuadroTexto 44">
          <a:extLst>
            <a:ext uri="{FF2B5EF4-FFF2-40B4-BE49-F238E27FC236}">
              <a16:creationId xmlns:a16="http://schemas.microsoft.com/office/drawing/2014/main" id="{25E33403-ACDC-4038-828F-542F694053EB}"/>
            </a:ext>
          </a:extLst>
        </xdr:cNvPr>
        <xdr:cNvSpPr txBox="1"/>
      </xdr:nvSpPr>
      <xdr:spPr>
        <a:xfrm>
          <a:off x="10344149" y="3400425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58059A-9941-43E8-B2A8-2697ADEA62DE}" type="TxLink">
            <a:rPr lang="en-US" sz="28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pPr algn="ctr"/>
            <a:t>50%</a:t>
          </a:fld>
          <a:endParaRPr lang="en-US" sz="28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304799</xdr:colOff>
      <xdr:row>29</xdr:row>
      <xdr:rowOff>0</xdr:rowOff>
    </xdr:from>
    <xdr:to>
      <xdr:col>7</xdr:col>
      <xdr:colOff>590550</xdr:colOff>
      <xdr:row>32</xdr:row>
      <xdr:rowOff>57150</xdr:rowOff>
    </xdr:to>
    <xdr:sp macro="" textlink="'ANALISIS-KPI'!C25">
      <xdr:nvSpPr>
        <xdr:cNvPr id="46" name="CuadroTexto 45">
          <a:extLst>
            <a:ext uri="{FF2B5EF4-FFF2-40B4-BE49-F238E27FC236}">
              <a16:creationId xmlns:a16="http://schemas.microsoft.com/office/drawing/2014/main" id="{FD69F35B-0597-47FD-8E01-DBA5E8453217}"/>
            </a:ext>
          </a:extLst>
        </xdr:cNvPr>
        <xdr:cNvSpPr txBox="1"/>
      </xdr:nvSpPr>
      <xdr:spPr>
        <a:xfrm>
          <a:off x="4876799" y="5524500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CB6C8FF-A076-41C0-BEF2-C940C569FB60}" type="TxLink">
            <a:rPr lang="en-US" sz="20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pPr algn="ctr"/>
            <a:t>14%</a:t>
          </a:fld>
          <a:endParaRPr lang="en-US" sz="20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704850</xdr:colOff>
      <xdr:row>23</xdr:row>
      <xdr:rowOff>161923</xdr:rowOff>
    </xdr:from>
    <xdr:to>
      <xdr:col>12</xdr:col>
      <xdr:colOff>419100</xdr:colOff>
      <xdr:row>34</xdr:row>
      <xdr:rowOff>57148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85122619-14DA-4A35-85B3-F34BC3DDD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314325</xdr:colOff>
      <xdr:row>22</xdr:row>
      <xdr:rowOff>9525</xdr:rowOff>
    </xdr:from>
    <xdr:to>
      <xdr:col>11</xdr:col>
      <xdr:colOff>628650</xdr:colOff>
      <xdr:row>24</xdr:row>
      <xdr:rowOff>47624</xdr:rowOff>
    </xdr:to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9C3EE6BC-2AF5-46E5-B0FB-8C522EB5D224}"/>
            </a:ext>
          </a:extLst>
        </xdr:cNvPr>
        <xdr:cNvSpPr txBox="1"/>
      </xdr:nvSpPr>
      <xdr:spPr>
        <a:xfrm>
          <a:off x="7172325" y="4200525"/>
          <a:ext cx="1838325" cy="419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800" b="1">
              <a:solidFill>
                <a:sysClr val="windowText" lastClr="000000"/>
              </a:solidFill>
            </a:rPr>
            <a:t>INSTALACION</a:t>
          </a:r>
        </a:p>
      </xdr:txBody>
    </xdr:sp>
    <xdr:clientData/>
  </xdr:twoCellAnchor>
  <xdr:twoCellAnchor>
    <xdr:from>
      <xdr:col>9</xdr:col>
      <xdr:colOff>752474</xdr:colOff>
      <xdr:row>28</xdr:row>
      <xdr:rowOff>180974</xdr:rowOff>
    </xdr:from>
    <xdr:to>
      <xdr:col>11</xdr:col>
      <xdr:colOff>276225</xdr:colOff>
      <xdr:row>32</xdr:row>
      <xdr:rowOff>47624</xdr:rowOff>
    </xdr:to>
    <xdr:sp macro="" textlink="'ANALISIS-KPI'!G25">
      <xdr:nvSpPr>
        <xdr:cNvPr id="49" name="CuadroTexto 48">
          <a:extLst>
            <a:ext uri="{FF2B5EF4-FFF2-40B4-BE49-F238E27FC236}">
              <a16:creationId xmlns:a16="http://schemas.microsoft.com/office/drawing/2014/main" id="{4F05101F-E6E4-4E82-B4DA-1FA66B21B9F9}"/>
            </a:ext>
          </a:extLst>
        </xdr:cNvPr>
        <xdr:cNvSpPr txBox="1"/>
      </xdr:nvSpPr>
      <xdr:spPr>
        <a:xfrm>
          <a:off x="7610474" y="5514974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24914C-7DF5-4630-8ADC-40D5E5880DA5}" type="TxLink">
            <a:rPr lang="en-US" sz="20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pPr algn="ctr"/>
            <a:t>14%</a:t>
          </a:fld>
          <a:endParaRPr lang="en-US" sz="20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381000</xdr:colOff>
      <xdr:row>23</xdr:row>
      <xdr:rowOff>161923</xdr:rowOff>
    </xdr:from>
    <xdr:to>
      <xdr:col>16</xdr:col>
      <xdr:colOff>95250</xdr:colOff>
      <xdr:row>34</xdr:row>
      <xdr:rowOff>57148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FEEAEFBF-5F5E-4473-8A5C-23130A01C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752475</xdr:colOff>
      <xdr:row>22</xdr:row>
      <xdr:rowOff>9525</xdr:rowOff>
    </xdr:from>
    <xdr:to>
      <xdr:col>15</xdr:col>
      <xdr:colOff>304800</xdr:colOff>
      <xdr:row>24</xdr:row>
      <xdr:rowOff>47624</xdr:rowOff>
    </xdr:to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96D88C32-5E6D-448C-9FA9-16BECEEA6403}"/>
            </a:ext>
          </a:extLst>
        </xdr:cNvPr>
        <xdr:cNvSpPr txBox="1"/>
      </xdr:nvSpPr>
      <xdr:spPr>
        <a:xfrm>
          <a:off x="9896475" y="4200525"/>
          <a:ext cx="1838325" cy="419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800" b="1">
              <a:solidFill>
                <a:sysClr val="windowText" lastClr="000000"/>
              </a:solidFill>
            </a:rPr>
            <a:t>MODIFICACION</a:t>
          </a:r>
        </a:p>
      </xdr:txBody>
    </xdr:sp>
    <xdr:clientData/>
  </xdr:twoCellAnchor>
  <xdr:twoCellAnchor>
    <xdr:from>
      <xdr:col>13</xdr:col>
      <xdr:colOff>428624</xdr:colOff>
      <xdr:row>28</xdr:row>
      <xdr:rowOff>180974</xdr:rowOff>
    </xdr:from>
    <xdr:to>
      <xdr:col>14</xdr:col>
      <xdr:colOff>714375</xdr:colOff>
      <xdr:row>32</xdr:row>
      <xdr:rowOff>47624</xdr:rowOff>
    </xdr:to>
    <xdr:sp macro="" textlink="'ANALISIS-KPI'!K25">
      <xdr:nvSpPr>
        <xdr:cNvPr id="52" name="CuadroTexto 51">
          <a:extLst>
            <a:ext uri="{FF2B5EF4-FFF2-40B4-BE49-F238E27FC236}">
              <a16:creationId xmlns:a16="http://schemas.microsoft.com/office/drawing/2014/main" id="{AB4B6DE8-DC7B-4EA7-A1E5-749981A2DB33}"/>
            </a:ext>
          </a:extLst>
        </xdr:cNvPr>
        <xdr:cNvSpPr txBox="1"/>
      </xdr:nvSpPr>
      <xdr:spPr>
        <a:xfrm>
          <a:off x="10334624" y="5514974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8F6308-895A-4CEB-8B55-E2F8F543B430}" type="TxLink">
            <a:rPr lang="en-US" sz="20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pPr algn="ctr"/>
            <a:t>71%</a:t>
          </a:fld>
          <a:endParaRPr lang="en-US" sz="20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304800</xdr:colOff>
      <xdr:row>23</xdr:row>
      <xdr:rowOff>152398</xdr:rowOff>
    </xdr:from>
    <xdr:to>
      <xdr:col>20</xdr:col>
      <xdr:colOff>19050</xdr:colOff>
      <xdr:row>34</xdr:row>
      <xdr:rowOff>47623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A5E3801C-739E-460B-97E1-FFB3AD4FF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676275</xdr:colOff>
      <xdr:row>22</xdr:row>
      <xdr:rowOff>0</xdr:rowOff>
    </xdr:from>
    <xdr:to>
      <xdr:col>19</xdr:col>
      <xdr:colOff>228600</xdr:colOff>
      <xdr:row>24</xdr:row>
      <xdr:rowOff>38099</xdr:rowOff>
    </xdr:to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CDD076FA-5048-4EBF-A5BD-F98AB925F504}"/>
            </a:ext>
          </a:extLst>
        </xdr:cNvPr>
        <xdr:cNvSpPr txBox="1"/>
      </xdr:nvSpPr>
      <xdr:spPr>
        <a:xfrm>
          <a:off x="12868275" y="4191000"/>
          <a:ext cx="1838325" cy="419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800" b="1">
              <a:solidFill>
                <a:sysClr val="windowText" lastClr="000000"/>
              </a:solidFill>
            </a:rPr>
            <a:t>REINSTALACION</a:t>
          </a:r>
        </a:p>
      </xdr:txBody>
    </xdr:sp>
    <xdr:clientData/>
  </xdr:twoCellAnchor>
  <xdr:twoCellAnchor>
    <xdr:from>
      <xdr:col>17</xdr:col>
      <xdr:colOff>352424</xdr:colOff>
      <xdr:row>28</xdr:row>
      <xdr:rowOff>171449</xdr:rowOff>
    </xdr:from>
    <xdr:to>
      <xdr:col>18</xdr:col>
      <xdr:colOff>638175</xdr:colOff>
      <xdr:row>32</xdr:row>
      <xdr:rowOff>38099</xdr:rowOff>
    </xdr:to>
    <xdr:sp macro="" textlink="'ANALISIS-KPI'!C31">
      <xdr:nvSpPr>
        <xdr:cNvPr id="55" name="CuadroTexto 54">
          <a:extLst>
            <a:ext uri="{FF2B5EF4-FFF2-40B4-BE49-F238E27FC236}">
              <a16:creationId xmlns:a16="http://schemas.microsoft.com/office/drawing/2014/main" id="{D56D8D97-082F-470D-9B76-81D9CB6B9E59}"/>
            </a:ext>
          </a:extLst>
        </xdr:cNvPr>
        <xdr:cNvSpPr txBox="1"/>
      </xdr:nvSpPr>
      <xdr:spPr>
        <a:xfrm>
          <a:off x="13306424" y="5505449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9D21B3-FFD6-4EAC-88FB-4BF6E1784851}" type="TxLink">
            <a:rPr lang="en-US" sz="20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pPr algn="ctr"/>
            <a:t>0%</a:t>
          </a:fld>
          <a:endParaRPr lang="en-US" sz="20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19</xdr:col>
      <xdr:colOff>685800</xdr:colOff>
      <xdr:row>23</xdr:row>
      <xdr:rowOff>142873</xdr:rowOff>
    </xdr:from>
    <xdr:to>
      <xdr:col>23</xdr:col>
      <xdr:colOff>400050</xdr:colOff>
      <xdr:row>34</xdr:row>
      <xdr:rowOff>38098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083A9A0D-2121-49F5-BA1B-BC6695758E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104775</xdr:colOff>
      <xdr:row>21</xdr:row>
      <xdr:rowOff>180975</xdr:rowOff>
    </xdr:from>
    <xdr:to>
      <xdr:col>22</xdr:col>
      <xdr:colOff>657225</xdr:colOff>
      <xdr:row>24</xdr:row>
      <xdr:rowOff>28574</xdr:rowOff>
    </xdr:to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C6BF6823-D740-4D6E-8EA3-7B39827F3A3C}"/>
            </a:ext>
          </a:extLst>
        </xdr:cNvPr>
        <xdr:cNvSpPr txBox="1"/>
      </xdr:nvSpPr>
      <xdr:spPr>
        <a:xfrm>
          <a:off x="15344775" y="4181475"/>
          <a:ext cx="2076450" cy="4190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AR" sz="1800" b="1">
              <a:solidFill>
                <a:sysClr val="windowText" lastClr="000000"/>
              </a:solidFill>
            </a:rPr>
            <a:t>SERVICIOS</a:t>
          </a:r>
          <a:r>
            <a:rPr lang="es-AR" sz="1800" b="1" baseline="0">
              <a:solidFill>
                <a:sysClr val="windowText" lastClr="000000"/>
              </a:solidFill>
            </a:rPr>
            <a:t> TECNICO</a:t>
          </a:r>
          <a:endParaRPr lang="es-AR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733424</xdr:colOff>
      <xdr:row>28</xdr:row>
      <xdr:rowOff>161924</xdr:rowOff>
    </xdr:from>
    <xdr:to>
      <xdr:col>22</xdr:col>
      <xdr:colOff>257175</xdr:colOff>
      <xdr:row>32</xdr:row>
      <xdr:rowOff>28574</xdr:rowOff>
    </xdr:to>
    <xdr:sp macro="" textlink="'ANALISIS-KPI'!G31">
      <xdr:nvSpPr>
        <xdr:cNvPr id="58" name="CuadroTexto 57">
          <a:extLst>
            <a:ext uri="{FF2B5EF4-FFF2-40B4-BE49-F238E27FC236}">
              <a16:creationId xmlns:a16="http://schemas.microsoft.com/office/drawing/2014/main" id="{DE1BBD60-DBCA-4E3A-B8E5-FAA257BF431E}"/>
            </a:ext>
          </a:extLst>
        </xdr:cNvPr>
        <xdr:cNvSpPr txBox="1"/>
      </xdr:nvSpPr>
      <xdr:spPr>
        <a:xfrm>
          <a:off x="15973424" y="5495924"/>
          <a:ext cx="1047751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DE47D8-6018-418B-92F2-2965AC92E194}" type="TxLink">
            <a:rPr lang="en-US" sz="2000" b="1" i="0" u="none" strike="noStrike">
              <a:solidFill>
                <a:srgbClr val="A50021"/>
              </a:solidFill>
              <a:latin typeface="Calibri"/>
              <a:ea typeface="Calibri"/>
              <a:cs typeface="Calibri"/>
            </a:rPr>
            <a:pPr algn="ctr"/>
            <a:t>0%</a:t>
          </a:fld>
          <a:endParaRPr lang="en-US" sz="2000" b="1" i="0" u="none" strike="noStrike">
            <a:solidFill>
              <a:srgbClr val="A5002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638175</xdr:colOff>
      <xdr:row>7</xdr:row>
      <xdr:rowOff>95250</xdr:rowOff>
    </xdr:from>
    <xdr:to>
      <xdr:col>8</xdr:col>
      <xdr:colOff>352426</xdr:colOff>
      <xdr:row>9</xdr:row>
      <xdr:rowOff>47625</xdr:rowOff>
    </xdr:to>
    <xdr:sp macro="" textlink="ANALISIS!B2">
      <xdr:nvSpPr>
        <xdr:cNvPr id="59" name="CuadroTexto 58">
          <a:extLst>
            <a:ext uri="{FF2B5EF4-FFF2-40B4-BE49-F238E27FC236}">
              <a16:creationId xmlns:a16="http://schemas.microsoft.com/office/drawing/2014/main" id="{323C5652-4CF9-4E9E-933F-3DF057F4B2F6}"/>
            </a:ext>
          </a:extLst>
        </xdr:cNvPr>
        <xdr:cNvSpPr txBox="1"/>
      </xdr:nvSpPr>
      <xdr:spPr>
        <a:xfrm>
          <a:off x="5210175" y="1428750"/>
          <a:ext cx="1238251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073D74-FE74-4336-9DD8-F2BC0206E0F5}" type="TxLink">
            <a:rPr lang="en-US" sz="1800" b="1" i="0" u="none" strike="noStrike">
              <a:solidFill>
                <a:srgbClr val="990033"/>
              </a:solidFill>
              <a:latin typeface="Calibri"/>
              <a:ea typeface="Calibri"/>
              <a:cs typeface="Calibri"/>
            </a:rPr>
            <a:t>2021</a:t>
          </a:fld>
          <a:endParaRPr lang="es-AR" sz="1800" b="1">
            <a:solidFill>
              <a:srgbClr val="990033"/>
            </a:solidFill>
          </a:endParaRPr>
        </a:p>
      </xdr:txBody>
    </xdr:sp>
    <xdr:clientData/>
  </xdr:twoCellAnchor>
  <xdr:twoCellAnchor>
    <xdr:from>
      <xdr:col>4</xdr:col>
      <xdr:colOff>333375</xdr:colOff>
      <xdr:row>7</xdr:row>
      <xdr:rowOff>95250</xdr:rowOff>
    </xdr:from>
    <xdr:to>
      <xdr:col>6</xdr:col>
      <xdr:colOff>666751</xdr:colOff>
      <xdr:row>9</xdr:row>
      <xdr:rowOff>47625</xdr:rowOff>
    </xdr:to>
    <xdr:sp macro="" textlink="ANALISIS!A2">
      <xdr:nvSpPr>
        <xdr:cNvPr id="60" name="CuadroTexto 59">
          <a:extLst>
            <a:ext uri="{FF2B5EF4-FFF2-40B4-BE49-F238E27FC236}">
              <a16:creationId xmlns:a16="http://schemas.microsoft.com/office/drawing/2014/main" id="{2425C6E9-C05D-4136-BFBC-98B198117697}"/>
            </a:ext>
          </a:extLst>
        </xdr:cNvPr>
        <xdr:cNvSpPr txBox="1"/>
      </xdr:nvSpPr>
      <xdr:spPr>
        <a:xfrm>
          <a:off x="3381375" y="1428750"/>
          <a:ext cx="1857376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B42767-AF84-4B2E-AD93-022BD076672D}" type="TxLink">
            <a:rPr lang="en-US" sz="1800" b="1" i="0" u="none" strike="noStrike">
              <a:solidFill>
                <a:srgbClr val="990033"/>
              </a:solidFill>
              <a:latin typeface="Calibri"/>
              <a:ea typeface="Calibri"/>
              <a:cs typeface="Calibri"/>
            </a:rPr>
            <a:t>(Varios elementos)</a:t>
          </a:fld>
          <a:endParaRPr lang="es-AR" sz="1800" b="1">
            <a:solidFill>
              <a:srgbClr val="990033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328.925565046295" createdVersion="7" refreshedVersion="7" minRefreshableVersion="3" recordCount="55" xr:uid="{78E4A6CC-2C03-4676-AD95-D21684A04A72}">
  <cacheSource type="worksheet">
    <worksheetSource name="datos" sheet="datos"/>
  </cacheSource>
  <cacheFields count="15">
    <cacheField name="id" numFmtId="0">
      <sharedItems containsSemiMixedTypes="0" containsString="0" containsNumber="1" containsInteger="1" minValue="1" maxValue="56"/>
    </cacheField>
    <cacheField name="provincia" numFmtId="0">
      <sharedItems/>
    </cacheField>
    <cacheField name="contratista" numFmtId="0">
      <sharedItems/>
    </cacheField>
    <cacheField name="precio" numFmtId="164">
      <sharedItems containsSemiMixedTypes="0" containsString="0" containsNumber="1" containsInteger="1" minValue="120200" maxValue="540250"/>
    </cacheField>
    <cacheField name="arquitecto" numFmtId="0">
      <sharedItems count="5">
        <s v="Mariano Soria"/>
        <s v="Pablo Suarez"/>
        <s v="Eugenia Morales"/>
        <s v="Maria Peralta"/>
        <s v="Diego Gonzales"/>
      </sharedItems>
    </cacheField>
    <cacheField name="fecha comienzo obra" numFmtId="14">
      <sharedItems containsSemiMixedTypes="0" containsNonDate="0" containsDate="1" containsString="0" minDate="2021-04-10T00:00:00" maxDate="2023-10-11T00:00:00"/>
    </cacheField>
    <cacheField name="material" numFmtId="0">
      <sharedItems/>
    </cacheField>
    <cacheField name="tipo trabajo" numFmtId="0">
      <sharedItems count="5">
        <s v="rinst"/>
        <s v="modif"/>
        <s v="inst"/>
        <s v="st"/>
        <s v="alta"/>
      </sharedItems>
    </cacheField>
    <cacheField name="profecion" numFmtId="0">
      <sharedItems/>
    </cacheField>
    <cacheField name="estado" numFmtId="0">
      <sharedItems count="2">
        <s v="Finalizado"/>
        <s v="En curso"/>
      </sharedItems>
    </cacheField>
    <cacheField name="valor tipo" numFmtId="0">
      <sharedItems containsSemiMixedTypes="0" containsString="0" containsNumber="1" minValue="0.5" maxValue="2"/>
    </cacheField>
    <cacheField name="precioFinal" numFmtId="164">
      <sharedItems containsSemiMixedTypes="0" containsString="0" containsNumber="1" minValue="120200" maxValue="542951.25"/>
    </cacheField>
    <cacheField name="precioDolar" numFmtId="165">
      <sharedItems containsSemiMixedTypes="0" containsString="0" containsNumber="1" minValue="96.16" maxValue="434.36099999999999"/>
    </cacheField>
    <cacheField name="año fecha" numFmtId="0">
      <sharedItems containsSemiMixedTypes="0" containsString="0" containsNumber="1" containsInteger="1" minValue="2021" maxValue="2023" count="3">
        <n v="2023"/>
        <n v="2022"/>
        <n v="2021"/>
      </sharedItems>
    </cacheField>
    <cacheField name="mes fecha" numFmtId="0">
      <sharedItems count="12">
        <s v="enero"/>
        <s v="junio"/>
        <s v="noviembre"/>
        <s v="agosto"/>
        <s v="octubre"/>
        <s v="septiembre"/>
        <s v="abril"/>
        <s v="julio"/>
        <s v="mayo"/>
        <s v="diciembre"/>
        <s v="febrero"/>
        <s v="marzo"/>
      </sharedItems>
    </cacheField>
  </cacheFields>
  <extLst>
    <ext xmlns:x14="http://schemas.microsoft.com/office/spreadsheetml/2009/9/main" uri="{725AE2AE-9491-48be-B2B4-4EB974FC3084}">
      <x14:pivotCacheDefinition pivotCacheId="20267017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n v="1"/>
    <s v="Rosario"/>
    <s v="Manuel"/>
    <n v="250000"/>
    <x v="0"/>
    <d v="2023-01-10T00:00:00"/>
    <s v="ladrillo 15x20"/>
    <x v="0"/>
    <s v="electrisista"/>
    <x v="0"/>
    <n v="1"/>
    <n v="251250"/>
    <n v="201"/>
    <x v="0"/>
    <x v="0"/>
  </r>
  <r>
    <n v="8"/>
    <s v="Tucuman"/>
    <s v="Manuel"/>
    <n v="320150"/>
    <x v="0"/>
    <d v="2023-06-10T00:00:00"/>
    <s v="bloque 20x40"/>
    <x v="1"/>
    <s v="electrisista"/>
    <x v="0"/>
    <n v="0.7"/>
    <n v="321750.75"/>
    <n v="257.4006"/>
    <x v="0"/>
    <x v="1"/>
  </r>
  <r>
    <n v="9"/>
    <s v="Rosario"/>
    <s v="Manuel"/>
    <n v="250000"/>
    <x v="0"/>
    <d v="2022-11-10T00:00:00"/>
    <s v="ladrillo 15x20"/>
    <x v="0"/>
    <s v="electrisista"/>
    <x v="0"/>
    <n v="1"/>
    <n v="251250"/>
    <n v="201"/>
    <x v="1"/>
    <x v="2"/>
  </r>
  <r>
    <n v="15"/>
    <s v="Tucuman"/>
    <s v="Manuel"/>
    <n v="320150"/>
    <x v="0"/>
    <d v="2023-08-10T00:00:00"/>
    <s v="bloque 20x40"/>
    <x v="1"/>
    <s v="electrisista"/>
    <x v="0"/>
    <n v="0.7"/>
    <n v="321750.75"/>
    <n v="257.4006"/>
    <x v="0"/>
    <x v="3"/>
  </r>
  <r>
    <n v="16"/>
    <s v="Rosario"/>
    <s v="Manuel"/>
    <n v="250000"/>
    <x v="0"/>
    <d v="2021-10-10T00:00:00"/>
    <s v="timbre portero 231"/>
    <x v="0"/>
    <s v="electrisista"/>
    <x v="0"/>
    <n v="1"/>
    <n v="251250"/>
    <n v="201"/>
    <x v="2"/>
    <x v="4"/>
  </r>
  <r>
    <n v="22"/>
    <s v="Tucuman"/>
    <s v="Manuel"/>
    <n v="320150"/>
    <x v="0"/>
    <d v="2021-08-10T00:00:00"/>
    <s v="codo rosca 1/2"/>
    <x v="1"/>
    <s v="electrisista"/>
    <x v="0"/>
    <n v="0.7"/>
    <n v="321750.75"/>
    <n v="257.4006"/>
    <x v="2"/>
    <x v="3"/>
  </r>
  <r>
    <n v="23"/>
    <s v="Rosario"/>
    <s v="Manuel"/>
    <n v="250000"/>
    <x v="0"/>
    <d v="2021-10-10T00:00:00"/>
    <s v="cable canal interior"/>
    <x v="0"/>
    <s v="electrisista"/>
    <x v="0"/>
    <n v="1"/>
    <n v="251250"/>
    <n v="201"/>
    <x v="2"/>
    <x v="4"/>
  </r>
  <r>
    <n v="29"/>
    <s v="Tucuman"/>
    <s v="Manuel"/>
    <n v="320150"/>
    <x v="0"/>
    <d v="2023-08-10T00:00:00"/>
    <s v="timbre portero 231"/>
    <x v="1"/>
    <s v="electrisista"/>
    <x v="0"/>
    <n v="0.7"/>
    <n v="321750.75"/>
    <n v="257.4006"/>
    <x v="0"/>
    <x v="3"/>
  </r>
  <r>
    <n v="31"/>
    <s v="Tucuman"/>
    <s v="Manuel"/>
    <n v="320150"/>
    <x v="0"/>
    <d v="2023-08-10T00:00:00"/>
    <s v="bloque 20x40"/>
    <x v="1"/>
    <s v="electrisista"/>
    <x v="0"/>
    <n v="0.7"/>
    <n v="321750.75"/>
    <n v="257.4006"/>
    <x v="0"/>
    <x v="3"/>
  </r>
  <r>
    <n v="32"/>
    <s v="Rosario"/>
    <s v="Manuel"/>
    <n v="250000"/>
    <x v="0"/>
    <d v="2021-10-10T00:00:00"/>
    <s v="hierro del 8"/>
    <x v="0"/>
    <s v="electrisista"/>
    <x v="0"/>
    <n v="1"/>
    <n v="251250"/>
    <n v="201"/>
    <x v="2"/>
    <x v="4"/>
  </r>
  <r>
    <n v="38"/>
    <s v="Tucuman"/>
    <s v="Manuel"/>
    <n v="320150"/>
    <x v="0"/>
    <d v="2023-08-10T00:00:00"/>
    <s v="hierro del 10"/>
    <x v="1"/>
    <s v="electrisista"/>
    <x v="0"/>
    <n v="0.7"/>
    <n v="321750.75"/>
    <n v="257.4006"/>
    <x v="0"/>
    <x v="3"/>
  </r>
  <r>
    <n v="39"/>
    <s v="Rosario"/>
    <s v="Manuel"/>
    <n v="250000"/>
    <x v="0"/>
    <d v="2021-10-10T00:00:00"/>
    <s v="hierro del 8"/>
    <x v="0"/>
    <s v="electrisista"/>
    <x v="0"/>
    <n v="1"/>
    <n v="251250"/>
    <n v="201"/>
    <x v="2"/>
    <x v="4"/>
  </r>
  <r>
    <n v="45"/>
    <s v="Tucuman"/>
    <s v="Manuel"/>
    <n v="320150"/>
    <x v="0"/>
    <d v="2023-08-10T00:00:00"/>
    <s v="hierro del 10"/>
    <x v="1"/>
    <s v="electrisista"/>
    <x v="0"/>
    <n v="0.7"/>
    <n v="321750.75"/>
    <n v="257.4006"/>
    <x v="0"/>
    <x v="3"/>
  </r>
  <r>
    <n v="53"/>
    <s v="Tucuman"/>
    <s v="Manuel"/>
    <n v="320150"/>
    <x v="0"/>
    <d v="2022-09-10T00:00:00"/>
    <s v="codo rosca 1/2"/>
    <x v="2"/>
    <s v="electrisista"/>
    <x v="0"/>
    <n v="2"/>
    <n v="321750.75"/>
    <n v="257.4006"/>
    <x v="1"/>
    <x v="5"/>
  </r>
  <r>
    <n v="2"/>
    <s v="Tucuman"/>
    <s v="Jose"/>
    <n v="350000"/>
    <x v="1"/>
    <d v="2023-01-10T00:00:00"/>
    <s v="caño de 1/2 rosca plastico"/>
    <x v="3"/>
    <s v="electrisista"/>
    <x v="1"/>
    <n v="0.5"/>
    <n v="350000"/>
    <n v="280"/>
    <x v="0"/>
    <x v="0"/>
  </r>
  <r>
    <n v="7"/>
    <s v="Mendoza"/>
    <s v="Jose"/>
    <n v="540250"/>
    <x v="1"/>
    <d v="2023-04-10T00:00:00"/>
    <s v="cable 2x1 5mts"/>
    <x v="4"/>
    <s v="electrisista"/>
    <x v="1"/>
    <n v="1.5"/>
    <n v="540250"/>
    <n v="432.2"/>
    <x v="0"/>
    <x v="6"/>
  </r>
  <r>
    <n v="10"/>
    <s v="Tucuman"/>
    <s v="Jose"/>
    <n v="350000"/>
    <x v="1"/>
    <d v="2022-01-10T00:00:00"/>
    <s v="caño de 1/2 rosca plastico"/>
    <x v="3"/>
    <s v="electrisista"/>
    <x v="1"/>
    <n v="0.5"/>
    <n v="350000"/>
    <n v="280"/>
    <x v="1"/>
    <x v="0"/>
  </r>
  <r>
    <n v="14"/>
    <s v="Mendoza"/>
    <s v="Jose"/>
    <n v="540250"/>
    <x v="1"/>
    <d v="2022-07-10T00:00:00"/>
    <s v="cable 2x1 5mts"/>
    <x v="4"/>
    <s v="electrisista"/>
    <x v="1"/>
    <n v="1.5"/>
    <n v="540250"/>
    <n v="432.2"/>
    <x v="1"/>
    <x v="7"/>
  </r>
  <r>
    <n v="17"/>
    <s v="Tucuman"/>
    <s v="Jose"/>
    <n v="350000"/>
    <x v="1"/>
    <d v="2021-05-10T00:00:00"/>
    <s v="cable canal interior"/>
    <x v="3"/>
    <s v="electrisista"/>
    <x v="1"/>
    <n v="0.5"/>
    <n v="350000"/>
    <n v="280"/>
    <x v="2"/>
    <x v="8"/>
  </r>
  <r>
    <n v="21"/>
    <s v="Mendoza"/>
    <s v="Jose"/>
    <n v="540250"/>
    <x v="1"/>
    <d v="2023-04-10T00:00:00"/>
    <s v="rodillo 6 pulgadas"/>
    <x v="4"/>
    <s v="electrisista"/>
    <x v="1"/>
    <n v="1.5"/>
    <n v="540250"/>
    <n v="432.2"/>
    <x v="0"/>
    <x v="6"/>
  </r>
  <r>
    <n v="24"/>
    <s v="Tucuman"/>
    <s v="Jose"/>
    <n v="350000"/>
    <x v="1"/>
    <d v="2022-10-10T00:00:00"/>
    <s v="timbre portero 231"/>
    <x v="3"/>
    <s v="electrisista"/>
    <x v="1"/>
    <n v="0.5"/>
    <n v="350000"/>
    <n v="280"/>
    <x v="1"/>
    <x v="4"/>
  </r>
  <r>
    <n v="28"/>
    <s v="Mendoza"/>
    <s v="Jose"/>
    <n v="540250"/>
    <x v="1"/>
    <d v="2021-07-10T00:00:00"/>
    <s v="codo rosca 1/2"/>
    <x v="4"/>
    <s v="electrisista"/>
    <x v="1"/>
    <n v="1.5"/>
    <n v="540250"/>
    <n v="432.2"/>
    <x v="2"/>
    <x v="7"/>
  </r>
  <r>
    <n v="30"/>
    <s v="Mendoza"/>
    <s v="Jose"/>
    <n v="540250"/>
    <x v="1"/>
    <d v="2021-07-10T00:00:00"/>
    <s v="bloque 20x40"/>
    <x v="4"/>
    <s v="electrisista"/>
    <x v="1"/>
    <n v="1.5"/>
    <n v="540250"/>
    <n v="432.2"/>
    <x v="2"/>
    <x v="7"/>
  </r>
  <r>
    <n v="33"/>
    <s v="Tucuman"/>
    <s v="Jose"/>
    <n v="350000"/>
    <x v="1"/>
    <d v="2022-10-10T00:00:00"/>
    <s v="hierro del 8"/>
    <x v="3"/>
    <s v="electrisista"/>
    <x v="1"/>
    <n v="0.5"/>
    <n v="350000"/>
    <n v="280"/>
    <x v="1"/>
    <x v="4"/>
  </r>
  <r>
    <n v="37"/>
    <s v="Mendoza"/>
    <s v="Jose"/>
    <n v="540250"/>
    <x v="1"/>
    <d v="2021-07-10T00:00:00"/>
    <s v="caja ceramica violeta"/>
    <x v="4"/>
    <s v="electrisista"/>
    <x v="1"/>
    <n v="1.5"/>
    <n v="540250"/>
    <n v="432.2"/>
    <x v="2"/>
    <x v="7"/>
  </r>
  <r>
    <n v="40"/>
    <s v="Tucuman"/>
    <s v="Jose"/>
    <n v="350000"/>
    <x v="1"/>
    <d v="2022-10-10T00:00:00"/>
    <s v="hierro del 8"/>
    <x v="3"/>
    <s v="electrisista"/>
    <x v="1"/>
    <n v="0.5"/>
    <n v="350000"/>
    <n v="280"/>
    <x v="1"/>
    <x v="4"/>
  </r>
  <r>
    <n v="44"/>
    <s v="Mendoza"/>
    <s v="Jose"/>
    <n v="540250"/>
    <x v="1"/>
    <d v="2021-07-10T00:00:00"/>
    <s v="caja ceramica violeta"/>
    <x v="4"/>
    <s v="electrisista"/>
    <x v="1"/>
    <n v="1.5"/>
    <n v="540250"/>
    <n v="432.2"/>
    <x v="2"/>
    <x v="7"/>
  </r>
  <r>
    <n v="48"/>
    <s v="Tucuman"/>
    <s v="Jose"/>
    <n v="350000"/>
    <x v="1"/>
    <d v="2022-08-10T00:00:00"/>
    <s v="cable canal interior"/>
    <x v="3"/>
    <s v="electrisista"/>
    <x v="0"/>
    <n v="0.5"/>
    <n v="351750"/>
    <n v="281.39999999999998"/>
    <x v="1"/>
    <x v="3"/>
  </r>
  <r>
    <n v="52"/>
    <s v="Mendoza"/>
    <s v="Jose"/>
    <n v="540250"/>
    <x v="1"/>
    <d v="2022-04-10T00:00:00"/>
    <s v="rodillo 6 pulgadas"/>
    <x v="2"/>
    <s v="electrisista"/>
    <x v="0"/>
    <n v="2"/>
    <n v="542951.25"/>
    <n v="434.36099999999999"/>
    <x v="1"/>
    <x v="6"/>
  </r>
  <r>
    <n v="55"/>
    <s v="Tucuman"/>
    <s v="Jose"/>
    <n v="350000"/>
    <x v="1"/>
    <d v="2022-12-10T00:00:00"/>
    <s v="cable canal interior"/>
    <x v="3"/>
    <s v="electrisista"/>
    <x v="0"/>
    <n v="0.5"/>
    <n v="351750"/>
    <n v="281.39999999999998"/>
    <x v="1"/>
    <x v="9"/>
  </r>
  <r>
    <n v="3"/>
    <s v="Mendoza"/>
    <s v="Veronica"/>
    <n v="185550"/>
    <x v="2"/>
    <d v="2023-01-10T00:00:00"/>
    <s v="20l pintura latex blanco"/>
    <x v="4"/>
    <s v="constructor"/>
    <x v="0"/>
    <n v="1.5"/>
    <n v="186477.75"/>
    <n v="149.18219999999999"/>
    <x v="0"/>
    <x v="0"/>
  </r>
  <r>
    <n v="11"/>
    <s v="Mendoza"/>
    <s v="Veronica"/>
    <n v="185550"/>
    <x v="2"/>
    <d v="2023-01-10T00:00:00"/>
    <s v="20l pintura latex blanco"/>
    <x v="4"/>
    <s v="constructor"/>
    <x v="0"/>
    <n v="1.5"/>
    <n v="186477.75"/>
    <n v="149.18219999999999"/>
    <x v="0"/>
    <x v="0"/>
  </r>
  <r>
    <n v="18"/>
    <s v="Mendoza"/>
    <s v="Veronica"/>
    <n v="185550"/>
    <x v="2"/>
    <d v="2021-05-10T00:00:00"/>
    <s v="codo rosca 1/2"/>
    <x v="4"/>
    <s v="constructor"/>
    <x v="0"/>
    <n v="1.5"/>
    <n v="186477.75"/>
    <n v="149.18219999999999"/>
    <x v="2"/>
    <x v="8"/>
  </r>
  <r>
    <n v="25"/>
    <s v="Mendoza"/>
    <s v="Veronica"/>
    <n v="185550"/>
    <x v="2"/>
    <d v="2023-10-10T00:00:00"/>
    <s v="codo rosca 1/2"/>
    <x v="4"/>
    <s v="constructor"/>
    <x v="0"/>
    <n v="1.5"/>
    <n v="186477.75"/>
    <n v="149.18219999999999"/>
    <x v="0"/>
    <x v="4"/>
  </r>
  <r>
    <n v="34"/>
    <s v="Mendoza"/>
    <s v="Veronica"/>
    <n v="185550"/>
    <x v="2"/>
    <d v="2023-10-10T00:00:00"/>
    <s v="hierro del 10"/>
    <x v="4"/>
    <s v="constructor"/>
    <x v="0"/>
    <n v="1.5"/>
    <n v="186477.75"/>
    <n v="149.18219999999999"/>
    <x v="0"/>
    <x v="4"/>
  </r>
  <r>
    <n v="41"/>
    <s v="Mendoza"/>
    <s v="Veronica"/>
    <n v="185550"/>
    <x v="2"/>
    <d v="2023-10-10T00:00:00"/>
    <s v="hierro del 10"/>
    <x v="4"/>
    <s v="constructor"/>
    <x v="0"/>
    <n v="1.5"/>
    <n v="186477.75"/>
    <n v="149.18219999999999"/>
    <x v="0"/>
    <x v="4"/>
  </r>
  <r>
    <n v="49"/>
    <s v="Mendoza"/>
    <s v="Veronica"/>
    <n v="185550"/>
    <x v="2"/>
    <d v="2022-01-02T00:00:00"/>
    <s v="codo rosca 1/2"/>
    <x v="3"/>
    <s v="constructor"/>
    <x v="0"/>
    <n v="0.5"/>
    <n v="186477.75"/>
    <n v="149.18219999999999"/>
    <x v="1"/>
    <x v="0"/>
  </r>
  <r>
    <n v="56"/>
    <s v="Mendoza"/>
    <s v="Veronica"/>
    <n v="185550"/>
    <x v="2"/>
    <d v="2022-12-02T00:00:00"/>
    <s v="codo rosca 1/2"/>
    <x v="3"/>
    <s v="constructor"/>
    <x v="0"/>
    <n v="0.5"/>
    <n v="186477.75"/>
    <n v="149.18219999999999"/>
    <x v="1"/>
    <x v="9"/>
  </r>
  <r>
    <n v="46"/>
    <s v="Rosario"/>
    <s v="Marcelo"/>
    <n v="250000"/>
    <x v="3"/>
    <d v="2021-10-10T00:00:00"/>
    <s v="timbre portero 231"/>
    <x v="0"/>
    <s v="constructor"/>
    <x v="0"/>
    <n v="1"/>
    <n v="251250"/>
    <n v="201"/>
    <x v="2"/>
    <x v="4"/>
  </r>
  <r>
    <n v="47"/>
    <s v="Rosario"/>
    <s v="Marcelo"/>
    <n v="250000"/>
    <x v="3"/>
    <d v="2022-10-05T00:00:00"/>
    <s v="timbre portero 231"/>
    <x v="2"/>
    <s v="constructor"/>
    <x v="0"/>
    <n v="2"/>
    <n v="251250"/>
    <n v="201"/>
    <x v="1"/>
    <x v="4"/>
  </r>
  <r>
    <n v="54"/>
    <s v="Rosario"/>
    <s v="Marcelo"/>
    <n v="250000"/>
    <x v="3"/>
    <d v="2022-12-05T00:00:00"/>
    <s v="timbre portero 231"/>
    <x v="2"/>
    <s v="constructor"/>
    <x v="0"/>
    <n v="2"/>
    <n v="251250"/>
    <n v="201"/>
    <x v="1"/>
    <x v="9"/>
  </r>
  <r>
    <n v="4"/>
    <s v="Cordoba"/>
    <s v="Natalia"/>
    <n v="500352"/>
    <x v="1"/>
    <d v="2023-02-10T00:00:00"/>
    <s v="bloque 20x40"/>
    <x v="2"/>
    <s v="pintor"/>
    <x v="1"/>
    <n v="2"/>
    <n v="500352"/>
    <n v="400.28160000000003"/>
    <x v="0"/>
    <x v="10"/>
  </r>
  <r>
    <n v="12"/>
    <s v="Cordoba"/>
    <s v="Natalia"/>
    <n v="500352"/>
    <x v="1"/>
    <d v="2022-02-10T00:00:00"/>
    <s v="bloque 20x40"/>
    <x v="2"/>
    <s v="pintor"/>
    <x v="1"/>
    <n v="2"/>
    <n v="500352"/>
    <n v="400.28160000000003"/>
    <x v="1"/>
    <x v="10"/>
  </r>
  <r>
    <n v="19"/>
    <s v="Cordoba"/>
    <s v="Natalia"/>
    <n v="500352"/>
    <x v="1"/>
    <d v="2021-05-10T00:00:00"/>
    <s v="rodillo 6 pulgadas"/>
    <x v="2"/>
    <s v="pintor"/>
    <x v="1"/>
    <n v="2"/>
    <n v="500352"/>
    <n v="400.28160000000003"/>
    <x v="2"/>
    <x v="8"/>
  </r>
  <r>
    <n v="26"/>
    <s v="Cordoba"/>
    <s v="Natalia"/>
    <n v="500352"/>
    <x v="1"/>
    <d v="2022-05-10T00:00:00"/>
    <s v="rodillo 6 pulgadas"/>
    <x v="2"/>
    <s v="pintor"/>
    <x v="1"/>
    <n v="2"/>
    <n v="500352"/>
    <n v="400.28160000000003"/>
    <x v="1"/>
    <x v="8"/>
  </r>
  <r>
    <n v="35"/>
    <s v="Cordoba"/>
    <s v="Natalia"/>
    <n v="500352"/>
    <x v="1"/>
    <d v="2022-05-10T00:00:00"/>
    <s v="hierro del 12"/>
    <x v="2"/>
    <s v="pintor"/>
    <x v="1"/>
    <n v="2"/>
    <n v="500352"/>
    <n v="400.28160000000003"/>
    <x v="1"/>
    <x v="8"/>
  </r>
  <r>
    <n v="42"/>
    <s v="Cordoba"/>
    <s v="Natalia"/>
    <n v="500352"/>
    <x v="1"/>
    <d v="2022-05-10T00:00:00"/>
    <s v="hierro del 12"/>
    <x v="2"/>
    <s v="pintor"/>
    <x v="1"/>
    <n v="2"/>
    <n v="500352"/>
    <n v="400.28160000000003"/>
    <x v="1"/>
    <x v="8"/>
  </r>
  <r>
    <n v="50"/>
    <s v="Cordoba"/>
    <s v="Natalia"/>
    <n v="500352"/>
    <x v="1"/>
    <d v="2022-05-10T00:00:00"/>
    <s v="rodillo 6 pulgadas"/>
    <x v="2"/>
    <s v="pintor"/>
    <x v="0"/>
    <n v="2"/>
    <n v="502853.76"/>
    <n v="402.283008"/>
    <x v="1"/>
    <x v="8"/>
  </r>
  <r>
    <n v="5"/>
    <s v="Rosario"/>
    <s v="Esteban"/>
    <n v="120200"/>
    <x v="4"/>
    <d v="2023-03-10T00:00:00"/>
    <s v="caño de 1/2 rosca plastico"/>
    <x v="1"/>
    <s v="ceramista"/>
    <x v="1"/>
    <n v="0.7"/>
    <n v="120200"/>
    <n v="96.16"/>
    <x v="0"/>
    <x v="11"/>
  </r>
  <r>
    <n v="13"/>
    <s v="Rosario"/>
    <s v="Esteban"/>
    <n v="120200"/>
    <x v="4"/>
    <d v="2022-03-10T00:00:00"/>
    <s v="caño de 1/2 rosca plastico"/>
    <x v="1"/>
    <s v="ceramista"/>
    <x v="1"/>
    <n v="0.7"/>
    <n v="120200"/>
    <n v="96.16"/>
    <x v="1"/>
    <x v="11"/>
  </r>
  <r>
    <n v="20"/>
    <s v="Rosario"/>
    <s v="Esteban"/>
    <n v="120200"/>
    <x v="4"/>
    <d v="2021-04-10T00:00:00"/>
    <s v="sellarosca"/>
    <x v="1"/>
    <s v="ceramista"/>
    <x v="1"/>
    <n v="0.7"/>
    <n v="120200"/>
    <n v="96.16"/>
    <x v="2"/>
    <x v="6"/>
  </r>
  <r>
    <n v="27"/>
    <s v="Rosario"/>
    <s v="Esteban"/>
    <n v="120200"/>
    <x v="4"/>
    <d v="2022-03-10T00:00:00"/>
    <s v="sellarosca"/>
    <x v="1"/>
    <s v="ceramista"/>
    <x v="1"/>
    <n v="0.7"/>
    <n v="120200"/>
    <n v="96.16"/>
    <x v="1"/>
    <x v="11"/>
  </r>
  <r>
    <n v="36"/>
    <s v="Rosario"/>
    <s v="Esteban"/>
    <n v="120200"/>
    <x v="4"/>
    <d v="2022-03-10T00:00:00"/>
    <s v="vigas 3.20"/>
    <x v="1"/>
    <s v="ceramista"/>
    <x v="1"/>
    <n v="0.7"/>
    <n v="120200"/>
    <n v="96.16"/>
    <x v="1"/>
    <x v="11"/>
  </r>
  <r>
    <n v="43"/>
    <s v="Rosario"/>
    <s v="Esteban"/>
    <n v="120200"/>
    <x v="4"/>
    <d v="2022-03-10T00:00:00"/>
    <s v="vigas 3.20"/>
    <x v="1"/>
    <s v="ceramista"/>
    <x v="1"/>
    <n v="0.7"/>
    <n v="120200"/>
    <n v="96.16"/>
    <x v="1"/>
    <x v="11"/>
  </r>
  <r>
    <n v="51"/>
    <s v="Rosario"/>
    <s v="Esteban"/>
    <n v="120200"/>
    <x v="4"/>
    <d v="2022-04-10T00:00:00"/>
    <s v="sellarosca"/>
    <x v="3"/>
    <s v="ceramista"/>
    <x v="0"/>
    <n v="0.5"/>
    <n v="120801"/>
    <n v="96.640799999999999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77CAE-1AAE-4EC2-954D-A17FF74167DE}" name="TablaDinámica5" cacheId="4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>
  <location ref="M15:N20" firstHeaderRow="1" firstDataRow="1" firstDataCol="1" rowPageCount="3" colPageCount="1"/>
  <pivotFields count="15">
    <pivotField dataField="1" showAll="0"/>
    <pivotField showAll="0"/>
    <pivotField showAll="0"/>
    <pivotField numFmtId="164" showAll="0"/>
    <pivotField showAll="0"/>
    <pivotField numFmtId="14" showAll="0"/>
    <pivotField showAll="0"/>
    <pivotField axis="axisRow" showAll="0">
      <items count="6">
        <item x="4"/>
        <item x="2"/>
        <item x="1"/>
        <item x="0"/>
        <item x="3"/>
        <item t="default"/>
      </items>
    </pivotField>
    <pivotField showAll="0"/>
    <pivotField axis="axisPage" multipleItemSelectionAllowed="1" showAll="0">
      <items count="3">
        <item x="1"/>
        <item x="0"/>
        <item t="default"/>
      </items>
    </pivotField>
    <pivotField showAll="0"/>
    <pivotField numFmtId="164" showAll="0"/>
    <pivotField numFmtId="165" showAll="0"/>
    <pivotField axis="axisPage" multipleItemSelectionAllowed="1" showAll="0">
      <items count="4">
        <item x="2"/>
        <item h="1" x="1"/>
        <item h="1" x="0"/>
        <item t="default"/>
      </items>
    </pivotField>
    <pivotField axis="axisPage" multipleItemSelectionAllowed="1" showAll="0">
      <items count="13">
        <item x="0"/>
        <item x="10"/>
        <item x="11"/>
        <item x="6"/>
        <item x="8"/>
        <item x="1"/>
        <item x="7"/>
        <item x="3"/>
        <item x="4"/>
        <item x="2"/>
        <item h="1" x="5"/>
        <item h="1" x="9"/>
        <item t="default"/>
      </items>
    </pivotField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3">
    <pageField fld="13" hier="-1"/>
    <pageField fld="14" hier="-1"/>
    <pageField fld="9" hier="-1"/>
  </pageFields>
  <dataFields count="1">
    <dataField name="Cuenta de id" fld="0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C42AF7-BEB5-43D2-887A-CC44AF25F2C1}" name="TablaDinámica4" cacheId="4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>
  <location ref="J15:K19" firstHeaderRow="1" firstDataRow="1" firstDataCol="1" rowPageCount="3" colPageCount="1"/>
  <pivotFields count="15">
    <pivotField dataField="1" showAll="0"/>
    <pivotField showAll="0"/>
    <pivotField showAll="0"/>
    <pivotField numFmtId="164" showAll="0"/>
    <pivotField showAll="0"/>
    <pivotField numFmtId="14" showAll="0"/>
    <pivotField showAll="0"/>
    <pivotField axis="axisRow" showAll="0">
      <items count="6">
        <item x="4"/>
        <item x="2"/>
        <item x="1"/>
        <item x="0"/>
        <item x="3"/>
        <item t="default"/>
      </items>
    </pivotField>
    <pivotField showAll="0"/>
    <pivotField axis="axisPage" multipleItemSelectionAllowed="1" showAll="0">
      <items count="3">
        <item x="1"/>
        <item h="1" x="0"/>
        <item t="default"/>
      </items>
    </pivotField>
    <pivotField showAll="0"/>
    <pivotField numFmtId="164" showAll="0"/>
    <pivotField numFmtId="165" showAll="0"/>
    <pivotField axis="axisPage" multipleItemSelectionAllowed="1" showAll="0">
      <items count="4">
        <item x="2"/>
        <item h="1" x="1"/>
        <item h="1" x="0"/>
        <item t="default"/>
      </items>
    </pivotField>
    <pivotField axis="axisPage" multipleItemSelectionAllowed="1" showAll="0">
      <items count="13">
        <item x="0"/>
        <item x="10"/>
        <item x="11"/>
        <item x="6"/>
        <item x="8"/>
        <item x="1"/>
        <item x="7"/>
        <item x="3"/>
        <item x="4"/>
        <item x="2"/>
        <item h="1" x="5"/>
        <item h="1" x="9"/>
        <item t="default"/>
      </items>
    </pivotField>
  </pivotFields>
  <rowFields count="1">
    <field x="7"/>
  </rowFields>
  <rowItems count="4">
    <i>
      <x/>
    </i>
    <i>
      <x v="1"/>
    </i>
    <i>
      <x v="2"/>
    </i>
    <i>
      <x v="4"/>
    </i>
  </rowItems>
  <colItems count="1">
    <i/>
  </colItems>
  <pageFields count="3">
    <pageField fld="13" hier="-1"/>
    <pageField fld="14" hier="-1"/>
    <pageField fld="9" hier="-1"/>
  </pageFields>
  <dataFields count="1">
    <dataField name="Cuenta de id" fld="0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49374A-FBB7-4518-82A4-2A0C9FAE6C87}" name="TablaDinámica3" cacheId="4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>
  <location ref="G15:H18" firstHeaderRow="1" firstDataRow="1" firstDataCol="1" rowPageCount="3" colPageCount="1"/>
  <pivotFields count="15">
    <pivotField dataField="1" showAll="0"/>
    <pivotField showAll="0"/>
    <pivotField showAll="0"/>
    <pivotField numFmtId="164" showAll="0"/>
    <pivotField showAll="0"/>
    <pivotField numFmtId="14" showAll="0"/>
    <pivotField showAll="0"/>
    <pivotField axis="axisRow" showAll="0">
      <items count="6">
        <item x="4"/>
        <item x="2"/>
        <item x="1"/>
        <item x="0"/>
        <item x="3"/>
        <item t="default"/>
      </items>
    </pivotField>
    <pivotField showAll="0"/>
    <pivotField axis="axisPage" multipleItemSelectionAllowed="1" showAll="0">
      <items count="3">
        <item h="1" x="1"/>
        <item x="0"/>
        <item t="default"/>
      </items>
    </pivotField>
    <pivotField showAll="0"/>
    <pivotField numFmtId="164" showAll="0"/>
    <pivotField numFmtId="165" showAll="0"/>
    <pivotField axis="axisPage" multipleItemSelectionAllowed="1" showAll="0">
      <items count="4">
        <item x="2"/>
        <item h="1" x="1"/>
        <item h="1" x="0"/>
        <item t="default"/>
      </items>
    </pivotField>
    <pivotField axis="axisPage" multipleItemSelectionAllowed="1" showAll="0">
      <items count="13">
        <item x="0"/>
        <item x="10"/>
        <item x="11"/>
        <item x="6"/>
        <item x="8"/>
        <item x="1"/>
        <item x="7"/>
        <item x="3"/>
        <item x="4"/>
        <item x="2"/>
        <item h="1" x="5"/>
        <item h="1" x="9"/>
        <item t="default"/>
      </items>
    </pivotField>
  </pivotFields>
  <rowFields count="1">
    <field x="7"/>
  </rowFields>
  <rowItems count="3">
    <i>
      <x/>
    </i>
    <i>
      <x v="2"/>
    </i>
    <i>
      <x v="3"/>
    </i>
  </rowItems>
  <colItems count="1">
    <i/>
  </colItems>
  <pageFields count="3">
    <pageField fld="13" hier="-1"/>
    <pageField fld="14" hier="-1"/>
    <pageField fld="9" hier="-1"/>
  </pageFields>
  <dataFields count="1">
    <dataField name="Cuenta de id" fld="0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72510-C94C-4C27-B838-EFC25D68FBEB}" name="TablaDinámica2" cacheId="4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1">
  <location ref="D15:E20" firstHeaderRow="1" firstDataRow="1" firstDataCol="1" rowPageCount="2" colPageCount="1"/>
  <pivotFields count="15">
    <pivotField showAll="0"/>
    <pivotField showAll="0"/>
    <pivotField showAll="0"/>
    <pivotField dataField="1" numFmtId="164" showAll="0"/>
    <pivotField axis="axisRow" showAll="0">
      <items count="6">
        <item x="4"/>
        <item x="2"/>
        <item x="3"/>
        <item x="0"/>
        <item x="1"/>
        <item t="default"/>
      </items>
    </pivotField>
    <pivotField numFmtId="14" showAll="0"/>
    <pivotField showAll="0"/>
    <pivotField showAll="0"/>
    <pivotField showAll="0"/>
    <pivotField showAll="0"/>
    <pivotField showAll="0"/>
    <pivotField numFmtId="164" showAll="0"/>
    <pivotField numFmtId="165" showAll="0"/>
    <pivotField axis="axisPage" multipleItemSelectionAllowed="1" showAll="0">
      <items count="4">
        <item x="2"/>
        <item h="1" x="1"/>
        <item h="1" x="0"/>
        <item t="default"/>
      </items>
    </pivotField>
    <pivotField axis="axisPage" multipleItemSelectionAllowed="1" showAll="0">
      <items count="13">
        <item x="0"/>
        <item x="10"/>
        <item x="11"/>
        <item x="6"/>
        <item x="8"/>
        <item x="1"/>
        <item x="7"/>
        <item x="3"/>
        <item x="4"/>
        <item x="2"/>
        <item h="1" x="5"/>
        <item h="1" x="9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2">
    <pageField fld="13" hier="-1"/>
    <pageField fld="14" hier="-1"/>
  </pageFields>
  <dataFields count="1">
    <dataField name="Suma de precio" fld="3" baseField="4" baseItem="0" numFmtId="44"/>
  </dataFields>
  <formats count="1">
    <format dxfId="14">
      <pivotArea outline="0" collapsedLevelsAreSubtotals="1" fieldPosition="0"/>
    </format>
  </formats>
  <chartFormats count="1"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21ADC2-B400-4765-86BB-916D0D145C48}" name="TablaDinámica1" cacheId="4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7" indent="0" outline="1" outlineData="1" multipleFieldFilters="0" chartFormat="17">
  <location ref="A15:B20" firstHeaderRow="1" firstDataRow="1" firstDataCol="1" rowPageCount="2" colPageCount="1"/>
  <pivotFields count="15">
    <pivotField dataField="1" showAll="0"/>
    <pivotField showAll="0"/>
    <pivotField showAll="0"/>
    <pivotField numFmtId="164" showAll="0"/>
    <pivotField axis="axisRow" showAll="0">
      <items count="6">
        <item x="4"/>
        <item x="2"/>
        <item x="0"/>
        <item x="1"/>
        <item x="3"/>
        <item t="default"/>
      </items>
    </pivotField>
    <pivotField numFmtId="14" showAll="0"/>
    <pivotField showAll="0"/>
    <pivotField showAll="0"/>
    <pivotField showAll="0"/>
    <pivotField showAll="0"/>
    <pivotField showAll="0"/>
    <pivotField numFmtId="164" showAll="0"/>
    <pivotField numFmtId="165" showAll="0"/>
    <pivotField axis="axisPage" multipleItemSelectionAllowed="1" showAll="0">
      <items count="4">
        <item x="2"/>
        <item h="1" x="1"/>
        <item h="1" x="0"/>
        <item t="default"/>
      </items>
    </pivotField>
    <pivotField axis="axisPage" multipleItemSelectionAllowed="1" showAll="0">
      <items count="13">
        <item x="0"/>
        <item x="10"/>
        <item x="11"/>
        <item x="6"/>
        <item x="8"/>
        <item x="1"/>
        <item x="7"/>
        <item x="3"/>
        <item x="4"/>
        <item x="2"/>
        <item h="1" x="5"/>
        <item h="1" x="9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2">
    <pageField fld="13" hier="-1"/>
    <pageField fld="14" hier="-1"/>
  </pageFields>
  <dataFields count="1">
    <dataField name="Cuenta de id" fld="0" subtotal="count" baseField="4" baseItem="0"/>
  </dataFields>
  <chartFormats count="1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868D76B-CE79-4DC1-8A9E-E05FD47051D4}" autoFormatId="16" applyNumberFormats="0" applyBorderFormats="0" applyFontFormats="0" applyPatternFormats="0" applyAlignmentFormats="0" applyWidthHeightFormats="0">
  <queryTableRefresh nextId="16" unboundColumnsRight="2">
    <queryTableFields count="15">
      <queryTableField id="1" name="id" tableColumnId="1"/>
      <queryTableField id="2" name="provincia" tableColumnId="2"/>
      <queryTableField id="3" name="contratista" tableColumnId="3"/>
      <queryTableField id="4" name="precio" tableColumnId="4"/>
      <queryTableField id="5" name="arquitecto" tableColumnId="5"/>
      <queryTableField id="6" name="fecha comienzo obra" tableColumnId="6"/>
      <queryTableField id="7" name="material" tableColumnId="7"/>
      <queryTableField id="8" name="tipo trabajo" tableColumnId="8"/>
      <queryTableField id="9" name="profecion" tableColumnId="9"/>
      <queryTableField id="10" name="estado" tableColumnId="10"/>
      <queryTableField id="11" name="valor tipo" tableColumnId="11"/>
      <queryTableField id="12" name="precioFinal" tableColumnId="12"/>
      <queryTableField id="13" name="precioDolar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5C1952F1-D0EC-43D2-8F46-0BCE6B42017A}" autoFormatId="16" applyNumberFormats="0" applyBorderFormats="0" applyFontFormats="0" applyPatternFormats="0" applyAlignmentFormats="0" applyWidthHeightFormats="0">
  <queryTableRefresh nextId="4">
    <queryTableFields count="3">
      <queryTableField id="1" name="idmaterial" tableColumnId="1"/>
      <queryTableField id="2" name="nombre" tableColumnId="2"/>
      <queryTableField id="3" name="stock Final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_fecha" xr10:uid="{B61F9F30-048B-44EB-B10C-3BDCDD40E3B9}" sourceName="año fecha">
  <pivotTables>
    <pivotTable tabId="4" name="TablaDinámica1"/>
    <pivotTable tabId="4" name="TablaDinámica2"/>
    <pivotTable tabId="4" name="TablaDinámica3"/>
    <pivotTable tabId="4" name="TablaDinámica4"/>
    <pivotTable tabId="4" name="TablaDinámica5"/>
  </pivotTables>
  <data>
    <tabular pivotCacheId="202670174">
      <items count="3">
        <i x="2" s="1"/>
        <i x="1"/>
        <i x="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fecha" xr10:uid="{2FD3BF34-BCDF-4A5A-9FE8-E4D4CBE6641F}" sourceName="mes fecha">
  <pivotTables>
    <pivotTable tabId="4" name="TablaDinámica1"/>
    <pivotTable tabId="4" name="TablaDinámica2"/>
    <pivotTable tabId="4" name="TablaDinámica3"/>
    <pivotTable tabId="4" name="TablaDinámica4"/>
    <pivotTable tabId="4" name="TablaDinámica5"/>
  </pivotTables>
  <data>
    <tabular pivotCacheId="202670174">
      <items count="12">
        <i x="6" s="1"/>
        <i x="8" s="1"/>
        <i x="7" s="1"/>
        <i x="3" s="1"/>
        <i x="4" s="1"/>
        <i x="0" s="1" nd="1"/>
        <i x="10" s="1" nd="1"/>
        <i x="11" s="1" nd="1"/>
        <i x="1" s="1" nd="1"/>
        <i x="5" nd="1"/>
        <i x="2" s="1" nd="1"/>
        <i x="9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 fecha" xr10:uid="{8BE5467C-636A-4C9E-88F9-816DF2047BDC}" cache="SegmentaciónDeDatos_año_fecha" caption="año fecha" rowHeight="241300"/>
  <slicer name="mes fecha" xr10:uid="{4481E6ED-589E-4069-9F04-555E2E0B25AD}" cache="SegmentaciónDeDatos_mes_fecha" caption="mes fecha" startItem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 fecha 1" xr10:uid="{34490700-2B3D-4BF9-A2EB-47D14F559D86}" cache="SegmentaciónDeDatos_año_fecha" caption="año fecha" rowHeight="241300"/>
  <slicer name="mes fecha 1" xr10:uid="{8F0870CF-3089-4A29-97D1-B14E6C7F29B2}" cache="SegmentaciónDeDatos_mes_fecha" caption="mes fecha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D4E37B-624D-4B7C-B639-476C40C63CBE}" name="datos" displayName="datos" ref="A1:O56" tableType="queryTable" totalsRowShown="0">
  <autoFilter ref="A1:O56" xr:uid="{A3D4E37B-624D-4B7C-B639-476C40C63CBE}">
    <filterColumn colId="7">
      <filters>
        <filter val="alta"/>
      </filters>
    </filterColumn>
    <filterColumn colId="9">
      <filters>
        <filter val="Finalizado"/>
      </filters>
    </filterColumn>
  </autoFilter>
  <tableColumns count="15">
    <tableColumn id="1" xr3:uid="{687058C4-476A-443E-BC13-186F0FA58B1E}" uniqueName="1" name="id" queryTableFieldId="1"/>
    <tableColumn id="2" xr3:uid="{230BEC9E-A0F4-444E-B066-13585345A270}" uniqueName="2" name="provincia" queryTableFieldId="2" dataDxfId="13"/>
    <tableColumn id="3" xr3:uid="{09485876-33DA-4E4C-A2A9-F760E9D7DA0E}" uniqueName="3" name="contratista" queryTableFieldId="3" dataDxfId="12"/>
    <tableColumn id="4" xr3:uid="{78F186C6-CFCF-4F3E-BEF8-24ECCDAF0DB8}" uniqueName="4" name="precio" queryTableFieldId="4" dataDxfId="11"/>
    <tableColumn id="5" xr3:uid="{1F95A43C-6D43-41D5-AF4C-C195AFB288D5}" uniqueName="5" name="arquitecto" queryTableFieldId="5" dataDxfId="10"/>
    <tableColumn id="6" xr3:uid="{B667B867-CE08-49A3-AD6F-DDED042604E3}" uniqueName="6" name="fecha comienzo obra" queryTableFieldId="6" dataDxfId="9"/>
    <tableColumn id="7" xr3:uid="{563717AC-FB71-4BA5-BE36-0349C1999617}" uniqueName="7" name="material" queryTableFieldId="7" dataDxfId="8"/>
    <tableColumn id="8" xr3:uid="{61AEFEC5-C641-4E18-BE2C-D5853387D706}" uniqueName="8" name="tipo trabajo" queryTableFieldId="8" dataDxfId="7"/>
    <tableColumn id="9" xr3:uid="{67280742-1DCD-4D22-BDDF-9F006B7514CB}" uniqueName="9" name="profecion" queryTableFieldId="9" dataDxfId="6"/>
    <tableColumn id="10" xr3:uid="{E1EBD089-405C-43E5-84AE-D51C3EB7E128}" uniqueName="10" name="estado" queryTableFieldId="10" dataDxfId="5"/>
    <tableColumn id="11" xr3:uid="{7AFC961B-689E-41A1-ADDB-D62BCA311E9E}" uniqueName="11" name="valor tipo" queryTableFieldId="11"/>
    <tableColumn id="12" xr3:uid="{2F731EBA-2D0A-4745-94E8-9B546C179D7B}" uniqueName="12" name="precioFinal" queryTableFieldId="12" dataDxfId="4"/>
    <tableColumn id="13" xr3:uid="{0B69E456-8102-486C-86AA-2F30F9059E9A}" uniqueName="13" name="precioDolar" queryTableFieldId="13" dataDxfId="3"/>
    <tableColumn id="14" xr3:uid="{B827DE19-FA88-4EC5-9FC3-8FFC167424E4}" uniqueName="14" name="año fecha" queryTableFieldId="14" dataDxfId="2">
      <calculatedColumnFormula>YEAR(datos[[#This Row],[fecha comienzo obra]])</calculatedColumnFormula>
    </tableColumn>
    <tableColumn id="15" xr3:uid="{DD55727E-5816-4F30-864E-7A756A297F7B}" uniqueName="15" name="mes fecha" queryTableFieldId="15" dataDxfId="1">
      <calculatedColumnFormula>TEXT(datos[[#This Row],[fecha comienzo obra]],"mmmm")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9A993C-9951-403F-B16F-8EF9FDD2698E}" name="stockmateriales" displayName="stockmateriales" ref="A1:C16" tableType="queryTable" totalsRowShown="0">
  <autoFilter ref="A1:C16" xr:uid="{E49A993C-9951-403F-B16F-8EF9FDD2698E}"/>
  <tableColumns count="3">
    <tableColumn id="1" xr3:uid="{24E3CB43-F767-4C18-9ABF-3276F20089A3}" uniqueName="1" name="idmaterial" queryTableFieldId="1"/>
    <tableColumn id="2" xr3:uid="{67E1DF5A-5A0C-4B31-B0CD-74D28A2E7971}" uniqueName="2" name="nombre" queryTableFieldId="2" dataDxfId="0"/>
    <tableColumn id="3" xr3:uid="{46158524-25DB-406B-BA63-62FC1B6CA878}" uniqueName="3" name="stock Final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F784E-8E26-4177-A207-8BDFAAAB009E}">
  <sheetPr codeName="Hoja1"/>
  <dimension ref="A1:O56"/>
  <sheetViews>
    <sheetView workbookViewId="0">
      <selection activeCell="G34" sqref="G34"/>
    </sheetView>
  </sheetViews>
  <sheetFormatPr baseColWidth="10" defaultRowHeight="15" x14ac:dyDescent="0.25"/>
  <cols>
    <col min="1" max="1" width="5" bestFit="1" customWidth="1"/>
    <col min="3" max="3" width="12.7109375" bestFit="1" customWidth="1"/>
    <col min="4" max="4" width="13" style="3" bestFit="1" customWidth="1"/>
    <col min="5" max="5" width="15.5703125" bestFit="1" customWidth="1"/>
    <col min="6" max="6" width="21.7109375" bestFit="1" customWidth="1"/>
    <col min="7" max="7" width="23.7109375" bestFit="1" customWidth="1"/>
    <col min="8" max="8" width="13.5703125" bestFit="1" customWidth="1"/>
    <col min="9" max="9" width="11.85546875" bestFit="1" customWidth="1"/>
    <col min="10" max="10" width="10" bestFit="1" customWidth="1"/>
    <col min="11" max="11" width="11.7109375" bestFit="1" customWidth="1"/>
    <col min="12" max="12" width="14.5703125" style="3" bestFit="1" customWidth="1"/>
    <col min="13" max="13" width="14.7109375" style="4" bestFit="1" customWidth="1"/>
    <col min="14" max="14" width="11.85546875" bestFit="1" customWidth="1"/>
    <col min="15" max="15" width="12.28515625" bestFit="1" customWidth="1"/>
  </cols>
  <sheetData>
    <row r="1" spans="1:15" x14ac:dyDescent="0.25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3" t="s">
        <v>40</v>
      </c>
      <c r="M1" s="4" t="s">
        <v>46</v>
      </c>
      <c r="N1" t="s">
        <v>67</v>
      </c>
      <c r="O1" t="s">
        <v>68</v>
      </c>
    </row>
    <row r="2" spans="1:15" hidden="1" x14ac:dyDescent="0.25">
      <c r="A2">
        <v>1</v>
      </c>
      <c r="B2" s="1" t="s">
        <v>18</v>
      </c>
      <c r="C2" s="1" t="s">
        <v>19</v>
      </c>
      <c r="D2" s="3">
        <v>250000</v>
      </c>
      <c r="E2" s="1" t="s">
        <v>20</v>
      </c>
      <c r="F2" s="2">
        <v>44936</v>
      </c>
      <c r="G2" s="1" t="s">
        <v>21</v>
      </c>
      <c r="H2" s="1" t="s">
        <v>22</v>
      </c>
      <c r="I2" s="1" t="s">
        <v>23</v>
      </c>
      <c r="J2" s="1" t="s">
        <v>24</v>
      </c>
      <c r="K2">
        <v>1</v>
      </c>
      <c r="L2" s="3">
        <v>251250</v>
      </c>
      <c r="M2" s="4">
        <v>201</v>
      </c>
      <c r="N2" s="1">
        <f>YEAR(datos[[#This Row],[fecha comienzo obra]])</f>
        <v>2023</v>
      </c>
      <c r="O2" s="1" t="str">
        <f>TEXT(datos[[#This Row],[fecha comienzo obra]],"mmmm")</f>
        <v>enero</v>
      </c>
    </row>
    <row r="3" spans="1:15" hidden="1" x14ac:dyDescent="0.25">
      <c r="A3">
        <v>8</v>
      </c>
      <c r="B3" s="1" t="s">
        <v>30</v>
      </c>
      <c r="C3" s="1" t="s">
        <v>19</v>
      </c>
      <c r="D3" s="3">
        <v>320150</v>
      </c>
      <c r="E3" s="1" t="s">
        <v>20</v>
      </c>
      <c r="F3" s="2">
        <v>45087</v>
      </c>
      <c r="G3" s="1" t="s">
        <v>14</v>
      </c>
      <c r="H3" s="1" t="s">
        <v>28</v>
      </c>
      <c r="I3" s="1" t="s">
        <v>23</v>
      </c>
      <c r="J3" s="1" t="s">
        <v>24</v>
      </c>
      <c r="K3">
        <v>0.7</v>
      </c>
      <c r="L3" s="3">
        <v>321750.75</v>
      </c>
      <c r="M3" s="4">
        <v>257.4006</v>
      </c>
      <c r="N3" s="1">
        <f>YEAR(datos[[#This Row],[fecha comienzo obra]])</f>
        <v>2023</v>
      </c>
      <c r="O3" s="1" t="str">
        <f>TEXT(datos[[#This Row],[fecha comienzo obra]],"mmmm")</f>
        <v>junio</v>
      </c>
    </row>
    <row r="4" spans="1:15" hidden="1" x14ac:dyDescent="0.25">
      <c r="A4">
        <v>9</v>
      </c>
      <c r="B4" s="1" t="s">
        <v>18</v>
      </c>
      <c r="C4" s="1" t="s">
        <v>19</v>
      </c>
      <c r="D4" s="3">
        <v>250000</v>
      </c>
      <c r="E4" s="1" t="s">
        <v>20</v>
      </c>
      <c r="F4" s="2">
        <v>44875</v>
      </c>
      <c r="G4" s="1" t="s">
        <v>21</v>
      </c>
      <c r="H4" s="1" t="s">
        <v>22</v>
      </c>
      <c r="I4" s="1" t="s">
        <v>23</v>
      </c>
      <c r="J4" s="1" t="s">
        <v>24</v>
      </c>
      <c r="K4">
        <v>1</v>
      </c>
      <c r="L4" s="3">
        <v>251250</v>
      </c>
      <c r="M4" s="4">
        <v>201</v>
      </c>
      <c r="N4" s="1">
        <f>YEAR(datos[[#This Row],[fecha comienzo obra]])</f>
        <v>2022</v>
      </c>
      <c r="O4" s="1" t="str">
        <f>TEXT(datos[[#This Row],[fecha comienzo obra]],"mmmm")</f>
        <v>noviembre</v>
      </c>
    </row>
    <row r="5" spans="1:15" hidden="1" x14ac:dyDescent="0.25">
      <c r="A5">
        <v>15</v>
      </c>
      <c r="B5" s="1" t="s">
        <v>30</v>
      </c>
      <c r="C5" s="1" t="s">
        <v>19</v>
      </c>
      <c r="D5" s="3">
        <v>320150</v>
      </c>
      <c r="E5" s="1" t="s">
        <v>20</v>
      </c>
      <c r="F5" s="2">
        <v>45148</v>
      </c>
      <c r="G5" s="1" t="s">
        <v>14</v>
      </c>
      <c r="H5" s="1" t="s">
        <v>28</v>
      </c>
      <c r="I5" s="1" t="s">
        <v>23</v>
      </c>
      <c r="J5" s="1" t="s">
        <v>24</v>
      </c>
      <c r="K5">
        <v>0.7</v>
      </c>
      <c r="L5" s="3">
        <v>321750.75</v>
      </c>
      <c r="M5" s="4">
        <v>257.4006</v>
      </c>
      <c r="N5" s="1">
        <f>YEAR(datos[[#This Row],[fecha comienzo obra]])</f>
        <v>2023</v>
      </c>
      <c r="O5" s="1" t="str">
        <f>TEXT(datos[[#This Row],[fecha comienzo obra]],"mmmm")</f>
        <v>agosto</v>
      </c>
    </row>
    <row r="6" spans="1:15" hidden="1" x14ac:dyDescent="0.25">
      <c r="A6">
        <v>16</v>
      </c>
      <c r="B6" s="1" t="s">
        <v>18</v>
      </c>
      <c r="C6" s="1" t="s">
        <v>19</v>
      </c>
      <c r="D6" s="3">
        <v>250000</v>
      </c>
      <c r="E6" s="1" t="s">
        <v>20</v>
      </c>
      <c r="F6" s="2">
        <v>44479</v>
      </c>
      <c r="G6" s="1" t="s">
        <v>41</v>
      </c>
      <c r="H6" s="1" t="s">
        <v>22</v>
      </c>
      <c r="I6" s="1" t="s">
        <v>23</v>
      </c>
      <c r="J6" s="1" t="s">
        <v>24</v>
      </c>
      <c r="K6">
        <v>1</v>
      </c>
      <c r="L6" s="3">
        <v>251250</v>
      </c>
      <c r="M6" s="4">
        <v>201</v>
      </c>
      <c r="N6" s="1">
        <f>YEAR(datos[[#This Row],[fecha comienzo obra]])</f>
        <v>2021</v>
      </c>
      <c r="O6" s="1" t="str">
        <f>TEXT(datos[[#This Row],[fecha comienzo obra]],"mmmm")</f>
        <v>octubre</v>
      </c>
    </row>
    <row r="7" spans="1:15" hidden="1" x14ac:dyDescent="0.25">
      <c r="A7">
        <v>22</v>
      </c>
      <c r="B7" s="1" t="s">
        <v>30</v>
      </c>
      <c r="C7" s="1" t="s">
        <v>19</v>
      </c>
      <c r="D7" s="3">
        <v>320150</v>
      </c>
      <c r="E7" s="1" t="s">
        <v>20</v>
      </c>
      <c r="F7" s="2">
        <v>44418</v>
      </c>
      <c r="G7" s="1" t="s">
        <v>42</v>
      </c>
      <c r="H7" s="1" t="s">
        <v>28</v>
      </c>
      <c r="I7" s="1" t="s">
        <v>23</v>
      </c>
      <c r="J7" s="1" t="s">
        <v>24</v>
      </c>
      <c r="K7">
        <v>0.7</v>
      </c>
      <c r="L7" s="3">
        <v>321750.75</v>
      </c>
      <c r="M7" s="4">
        <v>257.4006</v>
      </c>
      <c r="N7" s="1">
        <f>YEAR(datos[[#This Row],[fecha comienzo obra]])</f>
        <v>2021</v>
      </c>
      <c r="O7" s="1" t="str">
        <f>TEXT(datos[[#This Row],[fecha comienzo obra]],"mmmm")</f>
        <v>agosto</v>
      </c>
    </row>
    <row r="8" spans="1:15" hidden="1" x14ac:dyDescent="0.25">
      <c r="A8">
        <v>23</v>
      </c>
      <c r="B8" s="1" t="s">
        <v>18</v>
      </c>
      <c r="C8" s="1" t="s">
        <v>19</v>
      </c>
      <c r="D8" s="3">
        <v>250000</v>
      </c>
      <c r="E8" s="1" t="s">
        <v>20</v>
      </c>
      <c r="F8" s="2">
        <v>44479</v>
      </c>
      <c r="G8" s="1" t="s">
        <v>43</v>
      </c>
      <c r="H8" s="1" t="s">
        <v>22</v>
      </c>
      <c r="I8" s="1" t="s">
        <v>23</v>
      </c>
      <c r="J8" s="1" t="s">
        <v>24</v>
      </c>
      <c r="K8">
        <v>1</v>
      </c>
      <c r="L8" s="3">
        <v>251250</v>
      </c>
      <c r="M8" s="4">
        <v>201</v>
      </c>
      <c r="N8" s="1">
        <f>YEAR(datos[[#This Row],[fecha comienzo obra]])</f>
        <v>2021</v>
      </c>
      <c r="O8" s="1" t="str">
        <f>TEXT(datos[[#This Row],[fecha comienzo obra]],"mmmm")</f>
        <v>octubre</v>
      </c>
    </row>
    <row r="9" spans="1:15" hidden="1" x14ac:dyDescent="0.25">
      <c r="A9">
        <v>29</v>
      </c>
      <c r="B9" s="1" t="s">
        <v>30</v>
      </c>
      <c r="C9" s="1" t="s">
        <v>19</v>
      </c>
      <c r="D9" s="3">
        <v>320150</v>
      </c>
      <c r="E9" s="1" t="s">
        <v>20</v>
      </c>
      <c r="F9" s="2">
        <v>45148</v>
      </c>
      <c r="G9" s="1" t="s">
        <v>41</v>
      </c>
      <c r="H9" s="1" t="s">
        <v>28</v>
      </c>
      <c r="I9" s="1" t="s">
        <v>23</v>
      </c>
      <c r="J9" s="1" t="s">
        <v>24</v>
      </c>
      <c r="K9">
        <v>0.7</v>
      </c>
      <c r="L9" s="3">
        <v>321750.75</v>
      </c>
      <c r="M9" s="4">
        <v>257.4006</v>
      </c>
      <c r="N9" s="1">
        <f>YEAR(datos[[#This Row],[fecha comienzo obra]])</f>
        <v>2023</v>
      </c>
      <c r="O9" s="1" t="str">
        <f>TEXT(datos[[#This Row],[fecha comienzo obra]],"mmmm")</f>
        <v>agosto</v>
      </c>
    </row>
    <row r="10" spans="1:15" hidden="1" x14ac:dyDescent="0.25">
      <c r="A10">
        <v>31</v>
      </c>
      <c r="B10" s="1" t="s">
        <v>30</v>
      </c>
      <c r="C10" s="1" t="s">
        <v>19</v>
      </c>
      <c r="D10" s="3">
        <v>320150</v>
      </c>
      <c r="E10" s="1" t="s">
        <v>20</v>
      </c>
      <c r="F10" s="2">
        <v>45148</v>
      </c>
      <c r="G10" s="1" t="s">
        <v>14</v>
      </c>
      <c r="H10" s="1" t="s">
        <v>28</v>
      </c>
      <c r="I10" s="1" t="s">
        <v>23</v>
      </c>
      <c r="J10" s="1" t="s">
        <v>24</v>
      </c>
      <c r="K10">
        <v>0.7</v>
      </c>
      <c r="L10" s="3">
        <v>321750.75</v>
      </c>
      <c r="M10" s="4">
        <v>257.4006</v>
      </c>
      <c r="N10" s="1">
        <f>YEAR(datos[[#This Row],[fecha comienzo obra]])</f>
        <v>2023</v>
      </c>
      <c r="O10" s="1" t="str">
        <f>TEXT(datos[[#This Row],[fecha comienzo obra]],"mmmm")</f>
        <v>agosto</v>
      </c>
    </row>
    <row r="11" spans="1:15" hidden="1" x14ac:dyDescent="0.25">
      <c r="A11">
        <v>32</v>
      </c>
      <c r="B11" s="1" t="s">
        <v>18</v>
      </c>
      <c r="C11" s="1" t="s">
        <v>19</v>
      </c>
      <c r="D11" s="3">
        <v>250000</v>
      </c>
      <c r="E11" s="1" t="s">
        <v>20</v>
      </c>
      <c r="F11" s="2">
        <v>44479</v>
      </c>
      <c r="G11" s="1" t="s">
        <v>50</v>
      </c>
      <c r="H11" s="1" t="s">
        <v>22</v>
      </c>
      <c r="I11" s="1" t="s">
        <v>23</v>
      </c>
      <c r="J11" s="1" t="s">
        <v>24</v>
      </c>
      <c r="K11">
        <v>1</v>
      </c>
      <c r="L11" s="3">
        <v>251250</v>
      </c>
      <c r="M11" s="4">
        <v>201</v>
      </c>
      <c r="N11" s="1">
        <f>YEAR(datos[[#This Row],[fecha comienzo obra]])</f>
        <v>2021</v>
      </c>
      <c r="O11" s="1" t="str">
        <f>TEXT(datos[[#This Row],[fecha comienzo obra]],"mmmm")</f>
        <v>octubre</v>
      </c>
    </row>
    <row r="12" spans="1:15" hidden="1" x14ac:dyDescent="0.25">
      <c r="A12">
        <v>38</v>
      </c>
      <c r="B12" s="1" t="s">
        <v>30</v>
      </c>
      <c r="C12" s="1" t="s">
        <v>19</v>
      </c>
      <c r="D12" s="3">
        <v>320150</v>
      </c>
      <c r="E12" s="1" t="s">
        <v>20</v>
      </c>
      <c r="F12" s="2">
        <v>45148</v>
      </c>
      <c r="G12" s="1" t="s">
        <v>51</v>
      </c>
      <c r="H12" s="1" t="s">
        <v>28</v>
      </c>
      <c r="I12" s="1" t="s">
        <v>23</v>
      </c>
      <c r="J12" s="1" t="s">
        <v>24</v>
      </c>
      <c r="K12">
        <v>0.7</v>
      </c>
      <c r="L12" s="3">
        <v>321750.75</v>
      </c>
      <c r="M12" s="4">
        <v>257.4006</v>
      </c>
      <c r="N12" s="1">
        <f>YEAR(datos[[#This Row],[fecha comienzo obra]])</f>
        <v>2023</v>
      </c>
      <c r="O12" s="1" t="str">
        <f>TEXT(datos[[#This Row],[fecha comienzo obra]],"mmmm")</f>
        <v>agosto</v>
      </c>
    </row>
    <row r="13" spans="1:15" hidden="1" x14ac:dyDescent="0.25">
      <c r="A13">
        <v>39</v>
      </c>
      <c r="B13" s="1" t="s">
        <v>18</v>
      </c>
      <c r="C13" s="1" t="s">
        <v>19</v>
      </c>
      <c r="D13" s="3">
        <v>250000</v>
      </c>
      <c r="E13" s="1" t="s">
        <v>20</v>
      </c>
      <c r="F13" s="2">
        <v>44479</v>
      </c>
      <c r="G13" s="1" t="s">
        <v>50</v>
      </c>
      <c r="H13" s="1" t="s">
        <v>22</v>
      </c>
      <c r="I13" s="1" t="s">
        <v>23</v>
      </c>
      <c r="J13" s="1" t="s">
        <v>24</v>
      </c>
      <c r="K13">
        <v>1</v>
      </c>
      <c r="L13" s="3">
        <v>251250</v>
      </c>
      <c r="M13" s="4">
        <v>201</v>
      </c>
      <c r="N13" s="1">
        <f>YEAR(datos[[#This Row],[fecha comienzo obra]])</f>
        <v>2021</v>
      </c>
      <c r="O13" s="1" t="str">
        <f>TEXT(datos[[#This Row],[fecha comienzo obra]],"mmmm")</f>
        <v>octubre</v>
      </c>
    </row>
    <row r="14" spans="1:15" hidden="1" x14ac:dyDescent="0.25">
      <c r="A14">
        <v>45</v>
      </c>
      <c r="B14" s="1" t="s">
        <v>30</v>
      </c>
      <c r="C14" s="1" t="s">
        <v>19</v>
      </c>
      <c r="D14" s="3">
        <v>320150</v>
      </c>
      <c r="E14" s="1" t="s">
        <v>20</v>
      </c>
      <c r="F14" s="2">
        <v>45148</v>
      </c>
      <c r="G14" s="1" t="s">
        <v>51</v>
      </c>
      <c r="H14" s="1" t="s">
        <v>28</v>
      </c>
      <c r="I14" s="1" t="s">
        <v>23</v>
      </c>
      <c r="J14" s="1" t="s">
        <v>24</v>
      </c>
      <c r="K14">
        <v>0.7</v>
      </c>
      <c r="L14" s="3">
        <v>321750.75</v>
      </c>
      <c r="M14" s="4">
        <v>257.4006</v>
      </c>
      <c r="N14" s="1">
        <f>YEAR(datos[[#This Row],[fecha comienzo obra]])</f>
        <v>2023</v>
      </c>
      <c r="O14" s="1" t="str">
        <f>TEXT(datos[[#This Row],[fecha comienzo obra]],"mmmm")</f>
        <v>agosto</v>
      </c>
    </row>
    <row r="15" spans="1:15" hidden="1" x14ac:dyDescent="0.25">
      <c r="A15">
        <v>53</v>
      </c>
      <c r="B15" s="1" t="s">
        <v>30</v>
      </c>
      <c r="C15" s="1" t="s">
        <v>19</v>
      </c>
      <c r="D15" s="3">
        <v>320150</v>
      </c>
      <c r="E15" s="1" t="s">
        <v>20</v>
      </c>
      <c r="F15" s="2">
        <v>44814</v>
      </c>
      <c r="G15" s="1" t="s">
        <v>42</v>
      </c>
      <c r="H15" s="1" t="s">
        <v>15</v>
      </c>
      <c r="I15" s="1" t="s">
        <v>23</v>
      </c>
      <c r="J15" s="1" t="s">
        <v>24</v>
      </c>
      <c r="K15">
        <v>2</v>
      </c>
      <c r="L15" s="3">
        <v>321750.75</v>
      </c>
      <c r="M15" s="4">
        <v>257.4006</v>
      </c>
      <c r="N15" s="1">
        <f>YEAR(datos[[#This Row],[fecha comienzo obra]])</f>
        <v>2022</v>
      </c>
      <c r="O15" s="1" t="str">
        <f>TEXT(datos[[#This Row],[fecha comienzo obra]],"mmmm")</f>
        <v>septiembre</v>
      </c>
    </row>
    <row r="16" spans="1:15" hidden="1" x14ac:dyDescent="0.25">
      <c r="A16">
        <v>2</v>
      </c>
      <c r="B16" s="1" t="s">
        <v>30</v>
      </c>
      <c r="C16" s="1" t="s">
        <v>31</v>
      </c>
      <c r="D16" s="3">
        <v>350000</v>
      </c>
      <c r="E16" s="1" t="s">
        <v>13</v>
      </c>
      <c r="F16" s="2">
        <v>44936</v>
      </c>
      <c r="G16" s="1" t="s">
        <v>27</v>
      </c>
      <c r="H16" s="1" t="s">
        <v>32</v>
      </c>
      <c r="I16" s="1" t="s">
        <v>23</v>
      </c>
      <c r="J16" s="1" t="s">
        <v>17</v>
      </c>
      <c r="K16">
        <v>0.5</v>
      </c>
      <c r="L16" s="3">
        <v>350000</v>
      </c>
      <c r="M16" s="4">
        <v>280</v>
      </c>
      <c r="N16" s="1">
        <f>YEAR(datos[[#This Row],[fecha comienzo obra]])</f>
        <v>2023</v>
      </c>
      <c r="O16" s="1" t="str">
        <f>TEXT(datos[[#This Row],[fecha comienzo obra]],"mmmm")</f>
        <v>enero</v>
      </c>
    </row>
    <row r="17" spans="1:15" hidden="1" x14ac:dyDescent="0.25">
      <c r="A17">
        <v>7</v>
      </c>
      <c r="B17" s="1" t="s">
        <v>33</v>
      </c>
      <c r="C17" s="1" t="s">
        <v>31</v>
      </c>
      <c r="D17" s="3">
        <v>540250</v>
      </c>
      <c r="E17" s="1" t="s">
        <v>13</v>
      </c>
      <c r="F17" s="2">
        <v>45026</v>
      </c>
      <c r="G17" s="1" t="s">
        <v>39</v>
      </c>
      <c r="H17" s="1" t="s">
        <v>37</v>
      </c>
      <c r="I17" s="1" t="s">
        <v>23</v>
      </c>
      <c r="J17" s="1" t="s">
        <v>17</v>
      </c>
      <c r="K17">
        <v>1.5</v>
      </c>
      <c r="L17" s="3">
        <v>540250</v>
      </c>
      <c r="M17" s="4">
        <v>432.2</v>
      </c>
      <c r="N17" s="1">
        <f>YEAR(datos[[#This Row],[fecha comienzo obra]])</f>
        <v>2023</v>
      </c>
      <c r="O17" s="1" t="str">
        <f>TEXT(datos[[#This Row],[fecha comienzo obra]],"mmmm")</f>
        <v>abril</v>
      </c>
    </row>
    <row r="18" spans="1:15" hidden="1" x14ac:dyDescent="0.25">
      <c r="A18">
        <v>10</v>
      </c>
      <c r="B18" s="1" t="s">
        <v>30</v>
      </c>
      <c r="C18" s="1" t="s">
        <v>31</v>
      </c>
      <c r="D18" s="3">
        <v>350000</v>
      </c>
      <c r="E18" s="1" t="s">
        <v>13</v>
      </c>
      <c r="F18" s="2">
        <v>44571</v>
      </c>
      <c r="G18" s="1" t="s">
        <v>27</v>
      </c>
      <c r="H18" s="1" t="s">
        <v>32</v>
      </c>
      <c r="I18" s="1" t="s">
        <v>23</v>
      </c>
      <c r="J18" s="1" t="s">
        <v>17</v>
      </c>
      <c r="K18">
        <v>0.5</v>
      </c>
      <c r="L18" s="3">
        <v>350000</v>
      </c>
      <c r="M18" s="4">
        <v>280</v>
      </c>
      <c r="N18" s="1">
        <f>YEAR(datos[[#This Row],[fecha comienzo obra]])</f>
        <v>2022</v>
      </c>
      <c r="O18" s="1" t="str">
        <f>TEXT(datos[[#This Row],[fecha comienzo obra]],"mmmm")</f>
        <v>enero</v>
      </c>
    </row>
    <row r="19" spans="1:15" hidden="1" x14ac:dyDescent="0.25">
      <c r="A19">
        <v>14</v>
      </c>
      <c r="B19" s="1" t="s">
        <v>33</v>
      </c>
      <c r="C19" s="1" t="s">
        <v>31</v>
      </c>
      <c r="D19" s="3">
        <v>540250</v>
      </c>
      <c r="E19" s="1" t="s">
        <v>13</v>
      </c>
      <c r="F19" s="2">
        <v>44752</v>
      </c>
      <c r="G19" s="1" t="s">
        <v>39</v>
      </c>
      <c r="H19" s="1" t="s">
        <v>37</v>
      </c>
      <c r="I19" s="1" t="s">
        <v>23</v>
      </c>
      <c r="J19" s="1" t="s">
        <v>17</v>
      </c>
      <c r="K19">
        <v>1.5</v>
      </c>
      <c r="L19" s="3">
        <v>540250</v>
      </c>
      <c r="M19" s="4">
        <v>432.2</v>
      </c>
      <c r="N19" s="1">
        <f>YEAR(datos[[#This Row],[fecha comienzo obra]])</f>
        <v>2022</v>
      </c>
      <c r="O19" s="1" t="str">
        <f>TEXT(datos[[#This Row],[fecha comienzo obra]],"mmmm")</f>
        <v>julio</v>
      </c>
    </row>
    <row r="20" spans="1:15" hidden="1" x14ac:dyDescent="0.25">
      <c r="A20">
        <v>17</v>
      </c>
      <c r="B20" s="1" t="s">
        <v>30</v>
      </c>
      <c r="C20" s="1" t="s">
        <v>31</v>
      </c>
      <c r="D20" s="3">
        <v>350000</v>
      </c>
      <c r="E20" s="1" t="s">
        <v>13</v>
      </c>
      <c r="F20" s="2">
        <v>44326</v>
      </c>
      <c r="G20" s="1" t="s">
        <v>43</v>
      </c>
      <c r="H20" s="1" t="s">
        <v>32</v>
      </c>
      <c r="I20" s="1" t="s">
        <v>23</v>
      </c>
      <c r="J20" s="1" t="s">
        <v>17</v>
      </c>
      <c r="K20">
        <v>0.5</v>
      </c>
      <c r="L20" s="3">
        <v>350000</v>
      </c>
      <c r="M20" s="4">
        <v>280</v>
      </c>
      <c r="N20" s="1">
        <f>YEAR(datos[[#This Row],[fecha comienzo obra]])</f>
        <v>2021</v>
      </c>
      <c r="O20" s="1" t="str">
        <f>TEXT(datos[[#This Row],[fecha comienzo obra]],"mmmm")</f>
        <v>mayo</v>
      </c>
    </row>
    <row r="21" spans="1:15" hidden="1" x14ac:dyDescent="0.25">
      <c r="A21">
        <v>21</v>
      </c>
      <c r="B21" s="1" t="s">
        <v>33</v>
      </c>
      <c r="C21" s="1" t="s">
        <v>31</v>
      </c>
      <c r="D21" s="3">
        <v>540250</v>
      </c>
      <c r="E21" s="1" t="s">
        <v>13</v>
      </c>
      <c r="F21" s="2">
        <v>45026</v>
      </c>
      <c r="G21" s="1" t="s">
        <v>44</v>
      </c>
      <c r="H21" s="1" t="s">
        <v>37</v>
      </c>
      <c r="I21" s="1" t="s">
        <v>23</v>
      </c>
      <c r="J21" s="1" t="s">
        <v>17</v>
      </c>
      <c r="K21">
        <v>1.5</v>
      </c>
      <c r="L21" s="3">
        <v>540250</v>
      </c>
      <c r="M21" s="4">
        <v>432.2</v>
      </c>
      <c r="N21" s="1">
        <f>YEAR(datos[[#This Row],[fecha comienzo obra]])</f>
        <v>2023</v>
      </c>
      <c r="O21" s="1" t="str">
        <f>TEXT(datos[[#This Row],[fecha comienzo obra]],"mmmm")</f>
        <v>abril</v>
      </c>
    </row>
    <row r="22" spans="1:15" hidden="1" x14ac:dyDescent="0.25">
      <c r="A22">
        <v>24</v>
      </c>
      <c r="B22" s="1" t="s">
        <v>30</v>
      </c>
      <c r="C22" s="1" t="s">
        <v>31</v>
      </c>
      <c r="D22" s="3">
        <v>350000</v>
      </c>
      <c r="E22" s="1" t="s">
        <v>13</v>
      </c>
      <c r="F22" s="2">
        <v>44844</v>
      </c>
      <c r="G22" s="1" t="s">
        <v>41</v>
      </c>
      <c r="H22" s="1" t="s">
        <v>32</v>
      </c>
      <c r="I22" s="1" t="s">
        <v>23</v>
      </c>
      <c r="J22" s="1" t="s">
        <v>17</v>
      </c>
      <c r="K22">
        <v>0.5</v>
      </c>
      <c r="L22" s="3">
        <v>350000</v>
      </c>
      <c r="M22" s="4">
        <v>280</v>
      </c>
      <c r="N22" s="1">
        <f>YEAR(datos[[#This Row],[fecha comienzo obra]])</f>
        <v>2022</v>
      </c>
      <c r="O22" s="1" t="str">
        <f>TEXT(datos[[#This Row],[fecha comienzo obra]],"mmmm")</f>
        <v>octubre</v>
      </c>
    </row>
    <row r="23" spans="1:15" hidden="1" x14ac:dyDescent="0.25">
      <c r="A23">
        <v>28</v>
      </c>
      <c r="B23" s="1" t="s">
        <v>33</v>
      </c>
      <c r="C23" s="1" t="s">
        <v>31</v>
      </c>
      <c r="D23" s="3">
        <v>540250</v>
      </c>
      <c r="E23" s="1" t="s">
        <v>13</v>
      </c>
      <c r="F23" s="2">
        <v>44387</v>
      </c>
      <c r="G23" s="1" t="s">
        <v>42</v>
      </c>
      <c r="H23" s="1" t="s">
        <v>37</v>
      </c>
      <c r="I23" s="1" t="s">
        <v>23</v>
      </c>
      <c r="J23" s="1" t="s">
        <v>17</v>
      </c>
      <c r="K23">
        <v>1.5</v>
      </c>
      <c r="L23" s="3">
        <v>540250</v>
      </c>
      <c r="M23" s="4">
        <v>432.2</v>
      </c>
      <c r="N23" s="1">
        <f>YEAR(datos[[#This Row],[fecha comienzo obra]])</f>
        <v>2021</v>
      </c>
      <c r="O23" s="1" t="str">
        <f>TEXT(datos[[#This Row],[fecha comienzo obra]],"mmmm")</f>
        <v>julio</v>
      </c>
    </row>
    <row r="24" spans="1:15" hidden="1" x14ac:dyDescent="0.25">
      <c r="A24">
        <v>30</v>
      </c>
      <c r="B24" s="1" t="s">
        <v>33</v>
      </c>
      <c r="C24" s="1" t="s">
        <v>31</v>
      </c>
      <c r="D24" s="3">
        <v>540250</v>
      </c>
      <c r="E24" s="1" t="s">
        <v>13</v>
      </c>
      <c r="F24" s="2">
        <v>44387</v>
      </c>
      <c r="G24" s="1" t="s">
        <v>14</v>
      </c>
      <c r="H24" s="1" t="s">
        <v>37</v>
      </c>
      <c r="I24" s="1" t="s">
        <v>23</v>
      </c>
      <c r="J24" s="1" t="s">
        <v>17</v>
      </c>
      <c r="K24">
        <v>1.5</v>
      </c>
      <c r="L24" s="3">
        <v>540250</v>
      </c>
      <c r="M24" s="4">
        <v>432.2</v>
      </c>
      <c r="N24" s="1">
        <f>YEAR(datos[[#This Row],[fecha comienzo obra]])</f>
        <v>2021</v>
      </c>
      <c r="O24" s="1" t="str">
        <f>TEXT(datos[[#This Row],[fecha comienzo obra]],"mmmm")</f>
        <v>julio</v>
      </c>
    </row>
    <row r="25" spans="1:15" hidden="1" x14ac:dyDescent="0.25">
      <c r="A25">
        <v>33</v>
      </c>
      <c r="B25" s="1" t="s">
        <v>30</v>
      </c>
      <c r="C25" s="1" t="s">
        <v>31</v>
      </c>
      <c r="D25" s="3">
        <v>350000</v>
      </c>
      <c r="E25" s="1" t="s">
        <v>13</v>
      </c>
      <c r="F25" s="2">
        <v>44844</v>
      </c>
      <c r="G25" s="1" t="s">
        <v>50</v>
      </c>
      <c r="H25" s="1" t="s">
        <v>32</v>
      </c>
      <c r="I25" s="1" t="s">
        <v>23</v>
      </c>
      <c r="J25" s="1" t="s">
        <v>17</v>
      </c>
      <c r="K25">
        <v>0.5</v>
      </c>
      <c r="L25" s="3">
        <v>350000</v>
      </c>
      <c r="M25" s="4">
        <v>280</v>
      </c>
      <c r="N25" s="1">
        <f>YEAR(datos[[#This Row],[fecha comienzo obra]])</f>
        <v>2022</v>
      </c>
      <c r="O25" s="1" t="str">
        <f>TEXT(datos[[#This Row],[fecha comienzo obra]],"mmmm")</f>
        <v>octubre</v>
      </c>
    </row>
    <row r="26" spans="1:15" hidden="1" x14ac:dyDescent="0.25">
      <c r="A26">
        <v>37</v>
      </c>
      <c r="B26" s="1" t="s">
        <v>33</v>
      </c>
      <c r="C26" s="1" t="s">
        <v>31</v>
      </c>
      <c r="D26" s="3">
        <v>540250</v>
      </c>
      <c r="E26" s="1" t="s">
        <v>13</v>
      </c>
      <c r="F26" s="2">
        <v>44387</v>
      </c>
      <c r="G26" s="1" t="s">
        <v>53</v>
      </c>
      <c r="H26" s="1" t="s">
        <v>37</v>
      </c>
      <c r="I26" s="1" t="s">
        <v>23</v>
      </c>
      <c r="J26" s="1" t="s">
        <v>17</v>
      </c>
      <c r="K26">
        <v>1.5</v>
      </c>
      <c r="L26" s="3">
        <v>540250</v>
      </c>
      <c r="M26" s="4">
        <v>432.2</v>
      </c>
      <c r="N26" s="1">
        <f>YEAR(datos[[#This Row],[fecha comienzo obra]])</f>
        <v>2021</v>
      </c>
      <c r="O26" s="1" t="str">
        <f>TEXT(datos[[#This Row],[fecha comienzo obra]],"mmmm")</f>
        <v>julio</v>
      </c>
    </row>
    <row r="27" spans="1:15" hidden="1" x14ac:dyDescent="0.25">
      <c r="A27">
        <v>40</v>
      </c>
      <c r="B27" s="1" t="s">
        <v>30</v>
      </c>
      <c r="C27" s="1" t="s">
        <v>31</v>
      </c>
      <c r="D27" s="3">
        <v>350000</v>
      </c>
      <c r="E27" s="1" t="s">
        <v>13</v>
      </c>
      <c r="F27" s="2">
        <v>44844</v>
      </c>
      <c r="G27" s="1" t="s">
        <v>50</v>
      </c>
      <c r="H27" s="1" t="s">
        <v>32</v>
      </c>
      <c r="I27" s="1" t="s">
        <v>23</v>
      </c>
      <c r="J27" s="1" t="s">
        <v>17</v>
      </c>
      <c r="K27">
        <v>0.5</v>
      </c>
      <c r="L27" s="3">
        <v>350000</v>
      </c>
      <c r="M27" s="4">
        <v>280</v>
      </c>
      <c r="N27" s="1">
        <f>YEAR(datos[[#This Row],[fecha comienzo obra]])</f>
        <v>2022</v>
      </c>
      <c r="O27" s="1" t="str">
        <f>TEXT(datos[[#This Row],[fecha comienzo obra]],"mmmm")</f>
        <v>octubre</v>
      </c>
    </row>
    <row r="28" spans="1:15" hidden="1" x14ac:dyDescent="0.25">
      <c r="A28">
        <v>44</v>
      </c>
      <c r="B28" s="1" t="s">
        <v>33</v>
      </c>
      <c r="C28" s="1" t="s">
        <v>31</v>
      </c>
      <c r="D28" s="3">
        <v>540250</v>
      </c>
      <c r="E28" s="1" t="s">
        <v>13</v>
      </c>
      <c r="F28" s="2">
        <v>44387</v>
      </c>
      <c r="G28" s="1" t="s">
        <v>53</v>
      </c>
      <c r="H28" s="1" t="s">
        <v>37</v>
      </c>
      <c r="I28" s="1" t="s">
        <v>23</v>
      </c>
      <c r="J28" s="1" t="s">
        <v>17</v>
      </c>
      <c r="K28">
        <v>1.5</v>
      </c>
      <c r="L28" s="3">
        <v>540250</v>
      </c>
      <c r="M28" s="4">
        <v>432.2</v>
      </c>
      <c r="N28" s="1">
        <f>YEAR(datos[[#This Row],[fecha comienzo obra]])</f>
        <v>2021</v>
      </c>
      <c r="O28" s="1" t="str">
        <f>TEXT(datos[[#This Row],[fecha comienzo obra]],"mmmm")</f>
        <v>julio</v>
      </c>
    </row>
    <row r="29" spans="1:15" hidden="1" x14ac:dyDescent="0.25">
      <c r="A29">
        <v>48</v>
      </c>
      <c r="B29" s="1" t="s">
        <v>30</v>
      </c>
      <c r="C29" s="1" t="s">
        <v>31</v>
      </c>
      <c r="D29" s="3">
        <v>350000</v>
      </c>
      <c r="E29" s="1" t="s">
        <v>13</v>
      </c>
      <c r="F29" s="2">
        <v>44783</v>
      </c>
      <c r="G29" s="1" t="s">
        <v>43</v>
      </c>
      <c r="H29" s="1" t="s">
        <v>32</v>
      </c>
      <c r="I29" s="1" t="s">
        <v>23</v>
      </c>
      <c r="J29" s="1" t="s">
        <v>24</v>
      </c>
      <c r="K29">
        <v>0.5</v>
      </c>
      <c r="L29" s="3">
        <v>351750</v>
      </c>
      <c r="M29" s="4">
        <v>281.39999999999998</v>
      </c>
      <c r="N29" s="1">
        <f>YEAR(datos[[#This Row],[fecha comienzo obra]])</f>
        <v>2022</v>
      </c>
      <c r="O29" s="1" t="str">
        <f>TEXT(datos[[#This Row],[fecha comienzo obra]],"mmmm")</f>
        <v>agosto</v>
      </c>
    </row>
    <row r="30" spans="1:15" hidden="1" x14ac:dyDescent="0.25">
      <c r="A30">
        <v>52</v>
      </c>
      <c r="B30" s="1" t="s">
        <v>33</v>
      </c>
      <c r="C30" s="1" t="s">
        <v>31</v>
      </c>
      <c r="D30" s="3">
        <v>540250</v>
      </c>
      <c r="E30" s="1" t="s">
        <v>13</v>
      </c>
      <c r="F30" s="2">
        <v>44661</v>
      </c>
      <c r="G30" s="1" t="s">
        <v>44</v>
      </c>
      <c r="H30" s="1" t="s">
        <v>15</v>
      </c>
      <c r="I30" s="1" t="s">
        <v>23</v>
      </c>
      <c r="J30" s="1" t="s">
        <v>24</v>
      </c>
      <c r="K30">
        <v>2</v>
      </c>
      <c r="L30" s="3">
        <v>542951.25</v>
      </c>
      <c r="M30" s="4">
        <v>434.36099999999999</v>
      </c>
      <c r="N30" s="1">
        <f>YEAR(datos[[#This Row],[fecha comienzo obra]])</f>
        <v>2022</v>
      </c>
      <c r="O30" s="1" t="str">
        <f>TEXT(datos[[#This Row],[fecha comienzo obra]],"mmmm")</f>
        <v>abril</v>
      </c>
    </row>
    <row r="31" spans="1:15" hidden="1" x14ac:dyDescent="0.25">
      <c r="A31">
        <v>55</v>
      </c>
      <c r="B31" s="1" t="s">
        <v>30</v>
      </c>
      <c r="C31" s="1" t="s">
        <v>31</v>
      </c>
      <c r="D31" s="3">
        <v>350000</v>
      </c>
      <c r="E31" s="1" t="s">
        <v>13</v>
      </c>
      <c r="F31" s="2">
        <v>44905</v>
      </c>
      <c r="G31" s="1" t="s">
        <v>43</v>
      </c>
      <c r="H31" s="1" t="s">
        <v>32</v>
      </c>
      <c r="I31" s="1" t="s">
        <v>23</v>
      </c>
      <c r="J31" s="1" t="s">
        <v>24</v>
      </c>
      <c r="K31">
        <v>0.5</v>
      </c>
      <c r="L31" s="3">
        <v>351750</v>
      </c>
      <c r="M31" s="4">
        <v>281.39999999999998</v>
      </c>
      <c r="N31" s="1">
        <f>YEAR(datos[[#This Row],[fecha comienzo obra]])</f>
        <v>2022</v>
      </c>
      <c r="O31" s="1" t="str">
        <f>TEXT(datos[[#This Row],[fecha comienzo obra]],"mmmm")</f>
        <v>diciembre</v>
      </c>
    </row>
    <row r="32" spans="1:15" x14ac:dyDescent="0.25">
      <c r="A32">
        <v>3</v>
      </c>
      <c r="B32" s="1" t="s">
        <v>33</v>
      </c>
      <c r="C32" s="1" t="s">
        <v>34</v>
      </c>
      <c r="D32" s="3">
        <v>185550</v>
      </c>
      <c r="E32" s="1" t="s">
        <v>35</v>
      </c>
      <c r="F32" s="2">
        <v>44936</v>
      </c>
      <c r="G32" s="1" t="s">
        <v>36</v>
      </c>
      <c r="H32" s="1" t="s">
        <v>37</v>
      </c>
      <c r="I32" s="1" t="s">
        <v>38</v>
      </c>
      <c r="J32" s="1" t="s">
        <v>24</v>
      </c>
      <c r="K32">
        <v>1.5</v>
      </c>
      <c r="L32" s="3">
        <v>186477.75</v>
      </c>
      <c r="M32" s="4">
        <v>149.18219999999999</v>
      </c>
      <c r="N32" s="1">
        <f>YEAR(datos[[#This Row],[fecha comienzo obra]])</f>
        <v>2023</v>
      </c>
      <c r="O32" s="1" t="str">
        <f>TEXT(datos[[#This Row],[fecha comienzo obra]],"mmmm")</f>
        <v>enero</v>
      </c>
    </row>
    <row r="33" spans="1:15" x14ac:dyDescent="0.25">
      <c r="A33">
        <v>11</v>
      </c>
      <c r="B33" s="1" t="s">
        <v>33</v>
      </c>
      <c r="C33" s="1" t="s">
        <v>34</v>
      </c>
      <c r="D33" s="3">
        <v>185550</v>
      </c>
      <c r="E33" s="1" t="s">
        <v>35</v>
      </c>
      <c r="F33" s="2">
        <v>44936</v>
      </c>
      <c r="G33" s="1" t="s">
        <v>36</v>
      </c>
      <c r="H33" s="1" t="s">
        <v>37</v>
      </c>
      <c r="I33" s="1" t="s">
        <v>38</v>
      </c>
      <c r="J33" s="1" t="s">
        <v>24</v>
      </c>
      <c r="K33">
        <v>1.5</v>
      </c>
      <c r="L33" s="3">
        <v>186477.75</v>
      </c>
      <c r="M33" s="4">
        <v>149.18219999999999</v>
      </c>
      <c r="N33" s="1">
        <f>YEAR(datos[[#This Row],[fecha comienzo obra]])</f>
        <v>2023</v>
      </c>
      <c r="O33" s="1" t="str">
        <f>TEXT(datos[[#This Row],[fecha comienzo obra]],"mmmm")</f>
        <v>enero</v>
      </c>
    </row>
    <row r="34" spans="1:15" x14ac:dyDescent="0.25">
      <c r="A34">
        <v>18</v>
      </c>
      <c r="B34" s="1" t="s">
        <v>33</v>
      </c>
      <c r="C34" s="1" t="s">
        <v>34</v>
      </c>
      <c r="D34" s="3">
        <v>185550</v>
      </c>
      <c r="E34" s="1" t="s">
        <v>35</v>
      </c>
      <c r="F34" s="2">
        <v>44326</v>
      </c>
      <c r="G34" s="1" t="s">
        <v>42</v>
      </c>
      <c r="H34" s="1" t="s">
        <v>37</v>
      </c>
      <c r="I34" s="1" t="s">
        <v>38</v>
      </c>
      <c r="J34" s="1" t="s">
        <v>24</v>
      </c>
      <c r="K34">
        <v>1.5</v>
      </c>
      <c r="L34" s="3">
        <v>186477.75</v>
      </c>
      <c r="M34" s="4">
        <v>149.18219999999999</v>
      </c>
      <c r="N34" s="1">
        <f>YEAR(datos[[#This Row],[fecha comienzo obra]])</f>
        <v>2021</v>
      </c>
      <c r="O34" s="1" t="str">
        <f>TEXT(datos[[#This Row],[fecha comienzo obra]],"mmmm")</f>
        <v>mayo</v>
      </c>
    </row>
    <row r="35" spans="1:15" x14ac:dyDescent="0.25">
      <c r="A35">
        <v>25</v>
      </c>
      <c r="B35" s="1" t="s">
        <v>33</v>
      </c>
      <c r="C35" s="1" t="s">
        <v>34</v>
      </c>
      <c r="D35" s="3">
        <v>185550</v>
      </c>
      <c r="E35" s="1" t="s">
        <v>35</v>
      </c>
      <c r="F35" s="2">
        <v>45209</v>
      </c>
      <c r="G35" s="1" t="s">
        <v>42</v>
      </c>
      <c r="H35" s="1" t="s">
        <v>37</v>
      </c>
      <c r="I35" s="1" t="s">
        <v>38</v>
      </c>
      <c r="J35" s="1" t="s">
        <v>24</v>
      </c>
      <c r="K35">
        <v>1.5</v>
      </c>
      <c r="L35" s="3">
        <v>186477.75</v>
      </c>
      <c r="M35" s="4">
        <v>149.18219999999999</v>
      </c>
      <c r="N35" s="1">
        <f>YEAR(datos[[#This Row],[fecha comienzo obra]])</f>
        <v>2023</v>
      </c>
      <c r="O35" s="1" t="str">
        <f>TEXT(datos[[#This Row],[fecha comienzo obra]],"mmmm")</f>
        <v>octubre</v>
      </c>
    </row>
    <row r="36" spans="1:15" x14ac:dyDescent="0.25">
      <c r="A36">
        <v>34</v>
      </c>
      <c r="B36" s="1" t="s">
        <v>33</v>
      </c>
      <c r="C36" s="1" t="s">
        <v>34</v>
      </c>
      <c r="D36" s="3">
        <v>185550</v>
      </c>
      <c r="E36" s="1" t="s">
        <v>35</v>
      </c>
      <c r="F36" s="2">
        <v>45209</v>
      </c>
      <c r="G36" s="1" t="s">
        <v>51</v>
      </c>
      <c r="H36" s="1" t="s">
        <v>37</v>
      </c>
      <c r="I36" s="1" t="s">
        <v>38</v>
      </c>
      <c r="J36" s="1" t="s">
        <v>24</v>
      </c>
      <c r="K36">
        <v>1.5</v>
      </c>
      <c r="L36" s="3">
        <v>186477.75</v>
      </c>
      <c r="M36" s="4">
        <v>149.18219999999999</v>
      </c>
      <c r="N36" s="1">
        <f>YEAR(datos[[#This Row],[fecha comienzo obra]])</f>
        <v>2023</v>
      </c>
      <c r="O36" s="1" t="str">
        <f>TEXT(datos[[#This Row],[fecha comienzo obra]],"mmmm")</f>
        <v>octubre</v>
      </c>
    </row>
    <row r="37" spans="1:15" x14ac:dyDescent="0.25">
      <c r="A37">
        <v>41</v>
      </c>
      <c r="B37" s="1" t="s">
        <v>33</v>
      </c>
      <c r="C37" s="1" t="s">
        <v>34</v>
      </c>
      <c r="D37" s="3">
        <v>185550</v>
      </c>
      <c r="E37" s="1" t="s">
        <v>35</v>
      </c>
      <c r="F37" s="2">
        <v>45209</v>
      </c>
      <c r="G37" s="1" t="s">
        <v>51</v>
      </c>
      <c r="H37" s="1" t="s">
        <v>37</v>
      </c>
      <c r="I37" s="1" t="s">
        <v>38</v>
      </c>
      <c r="J37" s="1" t="s">
        <v>24</v>
      </c>
      <c r="K37">
        <v>1.5</v>
      </c>
      <c r="L37" s="3">
        <v>186477.75</v>
      </c>
      <c r="M37" s="4">
        <v>149.18219999999999</v>
      </c>
      <c r="N37" s="1">
        <f>YEAR(datos[[#This Row],[fecha comienzo obra]])</f>
        <v>2023</v>
      </c>
      <c r="O37" s="1" t="str">
        <f>TEXT(datos[[#This Row],[fecha comienzo obra]],"mmmm")</f>
        <v>octubre</v>
      </c>
    </row>
    <row r="38" spans="1:15" hidden="1" x14ac:dyDescent="0.25">
      <c r="A38">
        <v>49</v>
      </c>
      <c r="B38" s="1" t="s">
        <v>33</v>
      </c>
      <c r="C38" s="1" t="s">
        <v>34</v>
      </c>
      <c r="D38" s="3">
        <v>185550</v>
      </c>
      <c r="E38" s="1" t="s">
        <v>35</v>
      </c>
      <c r="F38" s="2">
        <v>44563</v>
      </c>
      <c r="G38" s="1" t="s">
        <v>42</v>
      </c>
      <c r="H38" s="1" t="s">
        <v>32</v>
      </c>
      <c r="I38" s="1" t="s">
        <v>38</v>
      </c>
      <c r="J38" s="1" t="s">
        <v>24</v>
      </c>
      <c r="K38">
        <v>0.5</v>
      </c>
      <c r="L38" s="3">
        <v>186477.75</v>
      </c>
      <c r="M38" s="4">
        <v>149.18219999999999</v>
      </c>
      <c r="N38" s="1">
        <f>YEAR(datos[[#This Row],[fecha comienzo obra]])</f>
        <v>2022</v>
      </c>
      <c r="O38" s="1" t="str">
        <f>TEXT(datos[[#This Row],[fecha comienzo obra]],"mmmm")</f>
        <v>enero</v>
      </c>
    </row>
    <row r="39" spans="1:15" hidden="1" x14ac:dyDescent="0.25">
      <c r="A39">
        <v>56</v>
      </c>
      <c r="B39" s="1" t="s">
        <v>33</v>
      </c>
      <c r="C39" s="1" t="s">
        <v>34</v>
      </c>
      <c r="D39" s="3">
        <v>185550</v>
      </c>
      <c r="E39" s="1" t="s">
        <v>35</v>
      </c>
      <c r="F39" s="2">
        <v>44897</v>
      </c>
      <c r="G39" s="1" t="s">
        <v>42</v>
      </c>
      <c r="H39" s="1" t="s">
        <v>32</v>
      </c>
      <c r="I39" s="1" t="s">
        <v>38</v>
      </c>
      <c r="J39" s="1" t="s">
        <v>24</v>
      </c>
      <c r="K39">
        <v>0.5</v>
      </c>
      <c r="L39" s="3">
        <v>186477.75</v>
      </c>
      <c r="M39" s="4">
        <v>149.18219999999999</v>
      </c>
      <c r="N39" s="1">
        <f>YEAR(datos[[#This Row],[fecha comienzo obra]])</f>
        <v>2022</v>
      </c>
      <c r="O39" s="1" t="str">
        <f>TEXT(datos[[#This Row],[fecha comienzo obra]],"mmmm")</f>
        <v>diciembre</v>
      </c>
    </row>
    <row r="40" spans="1:15" hidden="1" x14ac:dyDescent="0.25">
      <c r="A40">
        <v>46</v>
      </c>
      <c r="B40" s="1" t="s">
        <v>18</v>
      </c>
      <c r="C40" s="1" t="s">
        <v>60</v>
      </c>
      <c r="D40" s="3">
        <v>250000</v>
      </c>
      <c r="E40" s="1" t="s">
        <v>61</v>
      </c>
      <c r="F40" s="2">
        <v>44479</v>
      </c>
      <c r="G40" s="1" t="s">
        <v>41</v>
      </c>
      <c r="H40" s="1" t="s">
        <v>22</v>
      </c>
      <c r="I40" s="1" t="s">
        <v>38</v>
      </c>
      <c r="J40" s="1" t="s">
        <v>24</v>
      </c>
      <c r="K40">
        <v>1</v>
      </c>
      <c r="L40" s="3">
        <v>251250</v>
      </c>
      <c r="M40" s="4">
        <v>201</v>
      </c>
      <c r="N40" s="1">
        <f>YEAR(datos[[#This Row],[fecha comienzo obra]])</f>
        <v>2021</v>
      </c>
      <c r="O40" s="1" t="str">
        <f>TEXT(datos[[#This Row],[fecha comienzo obra]],"mmmm")</f>
        <v>octubre</v>
      </c>
    </row>
    <row r="41" spans="1:15" hidden="1" x14ac:dyDescent="0.25">
      <c r="A41">
        <v>47</v>
      </c>
      <c r="B41" s="1" t="s">
        <v>18</v>
      </c>
      <c r="C41" s="1" t="s">
        <v>60</v>
      </c>
      <c r="D41" s="3">
        <v>250000</v>
      </c>
      <c r="E41" s="1" t="s">
        <v>61</v>
      </c>
      <c r="F41" s="2">
        <v>44839</v>
      </c>
      <c r="G41" s="1" t="s">
        <v>41</v>
      </c>
      <c r="H41" s="1" t="s">
        <v>15</v>
      </c>
      <c r="I41" s="1" t="s">
        <v>38</v>
      </c>
      <c r="J41" s="1" t="s">
        <v>24</v>
      </c>
      <c r="K41">
        <v>2</v>
      </c>
      <c r="L41" s="3">
        <v>251250</v>
      </c>
      <c r="M41" s="4">
        <v>201</v>
      </c>
      <c r="N41" s="1">
        <f>YEAR(datos[[#This Row],[fecha comienzo obra]])</f>
        <v>2022</v>
      </c>
      <c r="O41" s="1" t="str">
        <f>TEXT(datos[[#This Row],[fecha comienzo obra]],"mmmm")</f>
        <v>octubre</v>
      </c>
    </row>
    <row r="42" spans="1:15" hidden="1" x14ac:dyDescent="0.25">
      <c r="A42">
        <v>54</v>
      </c>
      <c r="B42" s="1" t="s">
        <v>18</v>
      </c>
      <c r="C42" s="1" t="s">
        <v>60</v>
      </c>
      <c r="D42" s="3">
        <v>250000</v>
      </c>
      <c r="E42" s="1" t="s">
        <v>61</v>
      </c>
      <c r="F42" s="2">
        <v>44900</v>
      </c>
      <c r="G42" s="1" t="s">
        <v>41</v>
      </c>
      <c r="H42" s="1" t="s">
        <v>15</v>
      </c>
      <c r="I42" s="1" t="s">
        <v>38</v>
      </c>
      <c r="J42" s="1" t="s">
        <v>24</v>
      </c>
      <c r="K42">
        <v>2</v>
      </c>
      <c r="L42" s="3">
        <v>251250</v>
      </c>
      <c r="M42" s="4">
        <v>201</v>
      </c>
      <c r="N42" s="1">
        <f>YEAR(datos[[#This Row],[fecha comienzo obra]])</f>
        <v>2022</v>
      </c>
      <c r="O42" s="1" t="str">
        <f>TEXT(datos[[#This Row],[fecha comienzo obra]],"mmmm")</f>
        <v>diciembre</v>
      </c>
    </row>
    <row r="43" spans="1:15" hidden="1" x14ac:dyDescent="0.25">
      <c r="A43">
        <v>4</v>
      </c>
      <c r="B43" s="1" t="s">
        <v>11</v>
      </c>
      <c r="C43" s="1" t="s">
        <v>12</v>
      </c>
      <c r="D43" s="3">
        <v>500352</v>
      </c>
      <c r="E43" s="1" t="s">
        <v>13</v>
      </c>
      <c r="F43" s="2">
        <v>44967</v>
      </c>
      <c r="G43" s="1" t="s">
        <v>14</v>
      </c>
      <c r="H43" s="1" t="s">
        <v>15</v>
      </c>
      <c r="I43" s="1" t="s">
        <v>16</v>
      </c>
      <c r="J43" s="1" t="s">
        <v>17</v>
      </c>
      <c r="K43">
        <v>2</v>
      </c>
      <c r="L43" s="3">
        <v>500352</v>
      </c>
      <c r="M43" s="4">
        <v>400.28160000000003</v>
      </c>
      <c r="N43" s="1">
        <f>YEAR(datos[[#This Row],[fecha comienzo obra]])</f>
        <v>2023</v>
      </c>
      <c r="O43" s="1" t="str">
        <f>TEXT(datos[[#This Row],[fecha comienzo obra]],"mmmm")</f>
        <v>febrero</v>
      </c>
    </row>
    <row r="44" spans="1:15" hidden="1" x14ac:dyDescent="0.25">
      <c r="A44">
        <v>12</v>
      </c>
      <c r="B44" s="1" t="s">
        <v>11</v>
      </c>
      <c r="C44" s="1" t="s">
        <v>12</v>
      </c>
      <c r="D44" s="3">
        <v>500352</v>
      </c>
      <c r="E44" s="1" t="s">
        <v>13</v>
      </c>
      <c r="F44" s="2">
        <v>44602</v>
      </c>
      <c r="G44" s="1" t="s">
        <v>14</v>
      </c>
      <c r="H44" s="1" t="s">
        <v>15</v>
      </c>
      <c r="I44" s="1" t="s">
        <v>16</v>
      </c>
      <c r="J44" s="1" t="s">
        <v>17</v>
      </c>
      <c r="K44">
        <v>2</v>
      </c>
      <c r="L44" s="3">
        <v>500352</v>
      </c>
      <c r="M44" s="4">
        <v>400.28160000000003</v>
      </c>
      <c r="N44" s="1">
        <f>YEAR(datos[[#This Row],[fecha comienzo obra]])</f>
        <v>2022</v>
      </c>
      <c r="O44" s="1" t="str">
        <f>TEXT(datos[[#This Row],[fecha comienzo obra]],"mmmm")</f>
        <v>febrero</v>
      </c>
    </row>
    <row r="45" spans="1:15" hidden="1" x14ac:dyDescent="0.25">
      <c r="A45">
        <v>19</v>
      </c>
      <c r="B45" s="1" t="s">
        <v>11</v>
      </c>
      <c r="C45" s="1" t="s">
        <v>12</v>
      </c>
      <c r="D45" s="3">
        <v>500352</v>
      </c>
      <c r="E45" s="1" t="s">
        <v>13</v>
      </c>
      <c r="F45" s="2">
        <v>44326</v>
      </c>
      <c r="G45" s="1" t="s">
        <v>44</v>
      </c>
      <c r="H45" s="1" t="s">
        <v>15</v>
      </c>
      <c r="I45" s="1" t="s">
        <v>16</v>
      </c>
      <c r="J45" s="1" t="s">
        <v>17</v>
      </c>
      <c r="K45">
        <v>2</v>
      </c>
      <c r="L45" s="3">
        <v>500352</v>
      </c>
      <c r="M45" s="4">
        <v>400.28160000000003</v>
      </c>
      <c r="N45" s="1">
        <f>YEAR(datos[[#This Row],[fecha comienzo obra]])</f>
        <v>2021</v>
      </c>
      <c r="O45" s="1" t="str">
        <f>TEXT(datos[[#This Row],[fecha comienzo obra]],"mmmm")</f>
        <v>mayo</v>
      </c>
    </row>
    <row r="46" spans="1:15" hidden="1" x14ac:dyDescent="0.25">
      <c r="A46">
        <v>26</v>
      </c>
      <c r="B46" s="1" t="s">
        <v>11</v>
      </c>
      <c r="C46" s="1" t="s">
        <v>12</v>
      </c>
      <c r="D46" s="3">
        <v>500352</v>
      </c>
      <c r="E46" s="1" t="s">
        <v>13</v>
      </c>
      <c r="F46" s="2">
        <v>44691</v>
      </c>
      <c r="G46" s="1" t="s">
        <v>44</v>
      </c>
      <c r="H46" s="1" t="s">
        <v>15</v>
      </c>
      <c r="I46" s="1" t="s">
        <v>16</v>
      </c>
      <c r="J46" s="1" t="s">
        <v>17</v>
      </c>
      <c r="K46">
        <v>2</v>
      </c>
      <c r="L46" s="3">
        <v>500352</v>
      </c>
      <c r="M46" s="4">
        <v>400.28160000000003</v>
      </c>
      <c r="N46" s="1">
        <f>YEAR(datos[[#This Row],[fecha comienzo obra]])</f>
        <v>2022</v>
      </c>
      <c r="O46" s="1" t="str">
        <f>TEXT(datos[[#This Row],[fecha comienzo obra]],"mmmm")</f>
        <v>mayo</v>
      </c>
    </row>
    <row r="47" spans="1:15" hidden="1" x14ac:dyDescent="0.25">
      <c r="A47">
        <v>35</v>
      </c>
      <c r="B47" s="1" t="s">
        <v>11</v>
      </c>
      <c r="C47" s="1" t="s">
        <v>12</v>
      </c>
      <c r="D47" s="3">
        <v>500352</v>
      </c>
      <c r="E47" s="1" t="s">
        <v>13</v>
      </c>
      <c r="F47" s="2">
        <v>44691</v>
      </c>
      <c r="G47" s="1" t="s">
        <v>52</v>
      </c>
      <c r="H47" s="1" t="s">
        <v>15</v>
      </c>
      <c r="I47" s="1" t="s">
        <v>16</v>
      </c>
      <c r="J47" s="1" t="s">
        <v>17</v>
      </c>
      <c r="K47">
        <v>2</v>
      </c>
      <c r="L47" s="3">
        <v>500352</v>
      </c>
      <c r="M47" s="4">
        <v>400.28160000000003</v>
      </c>
      <c r="N47" s="1">
        <f>YEAR(datos[[#This Row],[fecha comienzo obra]])</f>
        <v>2022</v>
      </c>
      <c r="O47" s="1" t="str">
        <f>TEXT(datos[[#This Row],[fecha comienzo obra]],"mmmm")</f>
        <v>mayo</v>
      </c>
    </row>
    <row r="48" spans="1:15" hidden="1" x14ac:dyDescent="0.25">
      <c r="A48">
        <v>42</v>
      </c>
      <c r="B48" s="1" t="s">
        <v>11</v>
      </c>
      <c r="C48" s="1" t="s">
        <v>12</v>
      </c>
      <c r="D48" s="3">
        <v>500352</v>
      </c>
      <c r="E48" s="1" t="s">
        <v>13</v>
      </c>
      <c r="F48" s="2">
        <v>44691</v>
      </c>
      <c r="G48" s="1" t="s">
        <v>52</v>
      </c>
      <c r="H48" s="1" t="s">
        <v>15</v>
      </c>
      <c r="I48" s="1" t="s">
        <v>16</v>
      </c>
      <c r="J48" s="1" t="s">
        <v>17</v>
      </c>
      <c r="K48">
        <v>2</v>
      </c>
      <c r="L48" s="3">
        <v>500352</v>
      </c>
      <c r="M48" s="4">
        <v>400.28160000000003</v>
      </c>
      <c r="N48" s="1">
        <f>YEAR(datos[[#This Row],[fecha comienzo obra]])</f>
        <v>2022</v>
      </c>
      <c r="O48" s="1" t="str">
        <f>TEXT(datos[[#This Row],[fecha comienzo obra]],"mmmm")</f>
        <v>mayo</v>
      </c>
    </row>
    <row r="49" spans="1:15" hidden="1" x14ac:dyDescent="0.25">
      <c r="A49">
        <v>50</v>
      </c>
      <c r="B49" s="1" t="s">
        <v>11</v>
      </c>
      <c r="C49" s="1" t="s">
        <v>12</v>
      </c>
      <c r="D49" s="3">
        <v>500352</v>
      </c>
      <c r="E49" s="1" t="s">
        <v>13</v>
      </c>
      <c r="F49" s="2">
        <v>44691</v>
      </c>
      <c r="G49" s="1" t="s">
        <v>44</v>
      </c>
      <c r="H49" s="1" t="s">
        <v>15</v>
      </c>
      <c r="I49" s="1" t="s">
        <v>16</v>
      </c>
      <c r="J49" s="1" t="s">
        <v>24</v>
      </c>
      <c r="K49">
        <v>2</v>
      </c>
      <c r="L49" s="3">
        <v>502853.76</v>
      </c>
      <c r="M49" s="4">
        <v>402.283008</v>
      </c>
      <c r="N49" s="1">
        <f>YEAR(datos[[#This Row],[fecha comienzo obra]])</f>
        <v>2022</v>
      </c>
      <c r="O49" s="1" t="str">
        <f>TEXT(datos[[#This Row],[fecha comienzo obra]],"mmmm")</f>
        <v>mayo</v>
      </c>
    </row>
    <row r="50" spans="1:15" hidden="1" x14ac:dyDescent="0.25">
      <c r="A50">
        <v>5</v>
      </c>
      <c r="B50" s="1" t="s">
        <v>18</v>
      </c>
      <c r="C50" s="1" t="s">
        <v>25</v>
      </c>
      <c r="D50" s="3">
        <v>120200</v>
      </c>
      <c r="E50" s="1" t="s">
        <v>26</v>
      </c>
      <c r="F50" s="2">
        <v>44995</v>
      </c>
      <c r="G50" s="1" t="s">
        <v>27</v>
      </c>
      <c r="H50" s="1" t="s">
        <v>28</v>
      </c>
      <c r="I50" s="1" t="s">
        <v>29</v>
      </c>
      <c r="J50" s="1" t="s">
        <v>17</v>
      </c>
      <c r="K50">
        <v>0.7</v>
      </c>
      <c r="L50" s="3">
        <v>120200</v>
      </c>
      <c r="M50" s="4">
        <v>96.16</v>
      </c>
      <c r="N50" s="1">
        <f>YEAR(datos[[#This Row],[fecha comienzo obra]])</f>
        <v>2023</v>
      </c>
      <c r="O50" s="1" t="str">
        <f>TEXT(datos[[#This Row],[fecha comienzo obra]],"mmmm")</f>
        <v>marzo</v>
      </c>
    </row>
    <row r="51" spans="1:15" hidden="1" x14ac:dyDescent="0.25">
      <c r="A51">
        <v>13</v>
      </c>
      <c r="B51" s="1" t="s">
        <v>18</v>
      </c>
      <c r="C51" s="1" t="s">
        <v>25</v>
      </c>
      <c r="D51" s="3">
        <v>120200</v>
      </c>
      <c r="E51" s="1" t="s">
        <v>26</v>
      </c>
      <c r="F51" s="2">
        <v>44630</v>
      </c>
      <c r="G51" s="1" t="s">
        <v>27</v>
      </c>
      <c r="H51" s="1" t="s">
        <v>28</v>
      </c>
      <c r="I51" s="1" t="s">
        <v>29</v>
      </c>
      <c r="J51" s="1" t="s">
        <v>17</v>
      </c>
      <c r="K51">
        <v>0.7</v>
      </c>
      <c r="L51" s="3">
        <v>120200</v>
      </c>
      <c r="M51" s="4">
        <v>96.16</v>
      </c>
      <c r="N51" s="1">
        <f>YEAR(datos[[#This Row],[fecha comienzo obra]])</f>
        <v>2022</v>
      </c>
      <c r="O51" s="1" t="str">
        <f>TEXT(datos[[#This Row],[fecha comienzo obra]],"mmmm")</f>
        <v>marzo</v>
      </c>
    </row>
    <row r="52" spans="1:15" hidden="1" x14ac:dyDescent="0.25">
      <c r="A52">
        <v>20</v>
      </c>
      <c r="B52" s="1" t="s">
        <v>18</v>
      </c>
      <c r="C52" s="1" t="s">
        <v>25</v>
      </c>
      <c r="D52" s="3">
        <v>120200</v>
      </c>
      <c r="E52" s="1" t="s">
        <v>26</v>
      </c>
      <c r="F52" s="2">
        <v>44296</v>
      </c>
      <c r="G52" s="1" t="s">
        <v>45</v>
      </c>
      <c r="H52" s="1" t="s">
        <v>28</v>
      </c>
      <c r="I52" s="1" t="s">
        <v>29</v>
      </c>
      <c r="J52" s="1" t="s">
        <v>17</v>
      </c>
      <c r="K52">
        <v>0.7</v>
      </c>
      <c r="L52" s="3">
        <v>120200</v>
      </c>
      <c r="M52" s="4">
        <v>96.16</v>
      </c>
      <c r="N52" s="1">
        <f>YEAR(datos[[#This Row],[fecha comienzo obra]])</f>
        <v>2021</v>
      </c>
      <c r="O52" s="1" t="str">
        <f>TEXT(datos[[#This Row],[fecha comienzo obra]],"mmmm")</f>
        <v>abril</v>
      </c>
    </row>
    <row r="53" spans="1:15" hidden="1" x14ac:dyDescent="0.25">
      <c r="A53">
        <v>27</v>
      </c>
      <c r="B53" s="1" t="s">
        <v>18</v>
      </c>
      <c r="C53" s="1" t="s">
        <v>25</v>
      </c>
      <c r="D53" s="3">
        <v>120200</v>
      </c>
      <c r="E53" s="1" t="s">
        <v>26</v>
      </c>
      <c r="F53" s="2">
        <v>44630</v>
      </c>
      <c r="G53" s="1" t="s">
        <v>45</v>
      </c>
      <c r="H53" s="1" t="s">
        <v>28</v>
      </c>
      <c r="I53" s="1" t="s">
        <v>29</v>
      </c>
      <c r="J53" s="1" t="s">
        <v>17</v>
      </c>
      <c r="K53">
        <v>0.7</v>
      </c>
      <c r="L53" s="3">
        <v>120200</v>
      </c>
      <c r="M53" s="4">
        <v>96.16</v>
      </c>
      <c r="N53" s="1">
        <f>YEAR(datos[[#This Row],[fecha comienzo obra]])</f>
        <v>2022</v>
      </c>
      <c r="O53" s="1" t="str">
        <f>TEXT(datos[[#This Row],[fecha comienzo obra]],"mmmm")</f>
        <v>marzo</v>
      </c>
    </row>
    <row r="54" spans="1:15" hidden="1" x14ac:dyDescent="0.25">
      <c r="A54">
        <v>36</v>
      </c>
      <c r="B54" s="1" t="s">
        <v>18</v>
      </c>
      <c r="C54" s="1" t="s">
        <v>25</v>
      </c>
      <c r="D54" s="3">
        <v>120200</v>
      </c>
      <c r="E54" s="1" t="s">
        <v>26</v>
      </c>
      <c r="F54" s="2">
        <v>44630</v>
      </c>
      <c r="G54" s="1" t="s">
        <v>54</v>
      </c>
      <c r="H54" s="1" t="s">
        <v>28</v>
      </c>
      <c r="I54" s="1" t="s">
        <v>29</v>
      </c>
      <c r="J54" s="1" t="s">
        <v>17</v>
      </c>
      <c r="K54">
        <v>0.7</v>
      </c>
      <c r="L54" s="3">
        <v>120200</v>
      </c>
      <c r="M54" s="4">
        <v>96.16</v>
      </c>
      <c r="N54" s="1">
        <f>YEAR(datos[[#This Row],[fecha comienzo obra]])</f>
        <v>2022</v>
      </c>
      <c r="O54" s="1" t="str">
        <f>TEXT(datos[[#This Row],[fecha comienzo obra]],"mmmm")</f>
        <v>marzo</v>
      </c>
    </row>
    <row r="55" spans="1:15" hidden="1" x14ac:dyDescent="0.25">
      <c r="A55">
        <v>43</v>
      </c>
      <c r="B55" s="1" t="s">
        <v>18</v>
      </c>
      <c r="C55" s="1" t="s">
        <v>25</v>
      </c>
      <c r="D55" s="3">
        <v>120200</v>
      </c>
      <c r="E55" s="1" t="s">
        <v>26</v>
      </c>
      <c r="F55" s="2">
        <v>44630</v>
      </c>
      <c r="G55" s="1" t="s">
        <v>54</v>
      </c>
      <c r="H55" s="1" t="s">
        <v>28</v>
      </c>
      <c r="I55" s="1" t="s">
        <v>29</v>
      </c>
      <c r="J55" s="1" t="s">
        <v>17</v>
      </c>
      <c r="K55">
        <v>0.7</v>
      </c>
      <c r="L55" s="3">
        <v>120200</v>
      </c>
      <c r="M55" s="4">
        <v>96.16</v>
      </c>
      <c r="N55" s="1">
        <f>YEAR(datos[[#This Row],[fecha comienzo obra]])</f>
        <v>2022</v>
      </c>
      <c r="O55" s="1" t="str">
        <f>TEXT(datos[[#This Row],[fecha comienzo obra]],"mmmm")</f>
        <v>marzo</v>
      </c>
    </row>
    <row r="56" spans="1:15" hidden="1" x14ac:dyDescent="0.25">
      <c r="A56">
        <v>51</v>
      </c>
      <c r="B56" s="1" t="s">
        <v>18</v>
      </c>
      <c r="C56" s="1" t="s">
        <v>25</v>
      </c>
      <c r="D56" s="3">
        <v>120200</v>
      </c>
      <c r="E56" s="1" t="s">
        <v>26</v>
      </c>
      <c r="F56" s="2">
        <v>44661</v>
      </c>
      <c r="G56" s="1" t="s">
        <v>45</v>
      </c>
      <c r="H56" s="1" t="s">
        <v>32</v>
      </c>
      <c r="I56" s="1" t="s">
        <v>29</v>
      </c>
      <c r="J56" s="1" t="s">
        <v>24</v>
      </c>
      <c r="K56">
        <v>0.5</v>
      </c>
      <c r="L56" s="3">
        <v>120801</v>
      </c>
      <c r="M56" s="4">
        <v>96.640799999999999</v>
      </c>
      <c r="N56" s="1">
        <f>YEAR(datos[[#This Row],[fecha comienzo obra]])</f>
        <v>2022</v>
      </c>
      <c r="O56" s="1" t="str">
        <f>TEXT(datos[[#This Row],[fecha comienzo obra]],"mmmm")</f>
        <v>abril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53657-9254-4404-AC65-4BC100975530}">
  <sheetPr codeName="Hoja2"/>
  <dimension ref="A1:C35"/>
  <sheetViews>
    <sheetView workbookViewId="0">
      <selection activeCell="E26" sqref="E26"/>
    </sheetView>
  </sheetViews>
  <sheetFormatPr baseColWidth="10" defaultRowHeight="15" x14ac:dyDescent="0.25"/>
  <cols>
    <col min="1" max="1" width="12.42578125" bestFit="1" customWidth="1"/>
    <col min="2" max="2" width="23.7109375" bestFit="1" customWidth="1"/>
    <col min="3" max="3" width="12.5703125" bestFit="1" customWidth="1"/>
  </cols>
  <sheetData>
    <row r="1" spans="1:3" x14ac:dyDescent="0.25">
      <c r="A1" t="s">
        <v>47</v>
      </c>
      <c r="B1" t="s">
        <v>48</v>
      </c>
      <c r="C1" t="s">
        <v>49</v>
      </c>
    </row>
    <row r="2" spans="1:3" x14ac:dyDescent="0.25">
      <c r="A2">
        <v>1</v>
      </c>
      <c r="B2" s="1" t="s">
        <v>14</v>
      </c>
      <c r="C2">
        <v>994</v>
      </c>
    </row>
    <row r="3" spans="1:3" x14ac:dyDescent="0.25">
      <c r="A3">
        <v>2</v>
      </c>
      <c r="B3" s="1" t="s">
        <v>39</v>
      </c>
      <c r="C3">
        <v>998</v>
      </c>
    </row>
    <row r="4" spans="1:3" x14ac:dyDescent="0.25">
      <c r="A4">
        <v>3</v>
      </c>
      <c r="B4" s="1" t="s">
        <v>21</v>
      </c>
      <c r="C4">
        <v>998</v>
      </c>
    </row>
    <row r="5" spans="1:3" x14ac:dyDescent="0.25">
      <c r="A5">
        <v>4</v>
      </c>
      <c r="B5" s="1" t="s">
        <v>36</v>
      </c>
      <c r="C5">
        <v>998</v>
      </c>
    </row>
    <row r="6" spans="1:3" x14ac:dyDescent="0.25">
      <c r="A6">
        <v>5</v>
      </c>
      <c r="B6" s="1" t="s">
        <v>27</v>
      </c>
      <c r="C6">
        <v>996</v>
      </c>
    </row>
    <row r="7" spans="1:3" x14ac:dyDescent="0.25">
      <c r="A7">
        <v>6</v>
      </c>
      <c r="B7" s="1" t="s">
        <v>41</v>
      </c>
      <c r="C7">
        <v>994</v>
      </c>
    </row>
    <row r="8" spans="1:3" x14ac:dyDescent="0.25">
      <c r="A8">
        <v>7</v>
      </c>
      <c r="B8" s="1" t="s">
        <v>43</v>
      </c>
      <c r="C8">
        <v>996</v>
      </c>
    </row>
    <row r="9" spans="1:3" x14ac:dyDescent="0.25">
      <c r="A9">
        <v>8</v>
      </c>
      <c r="B9" s="1" t="s">
        <v>42</v>
      </c>
      <c r="C9">
        <v>993</v>
      </c>
    </row>
    <row r="10" spans="1:3" x14ac:dyDescent="0.25">
      <c r="A10">
        <v>9</v>
      </c>
      <c r="B10" s="1" t="s">
        <v>44</v>
      </c>
      <c r="C10">
        <v>995</v>
      </c>
    </row>
    <row r="11" spans="1:3" x14ac:dyDescent="0.25">
      <c r="A11">
        <v>10</v>
      </c>
      <c r="B11" s="1" t="s">
        <v>45</v>
      </c>
      <c r="C11">
        <v>997</v>
      </c>
    </row>
    <row r="12" spans="1:3" x14ac:dyDescent="0.25">
      <c r="A12">
        <v>11</v>
      </c>
      <c r="B12" s="1" t="s">
        <v>50</v>
      </c>
      <c r="C12">
        <v>996</v>
      </c>
    </row>
    <row r="13" spans="1:3" x14ac:dyDescent="0.25">
      <c r="A13">
        <v>12</v>
      </c>
      <c r="B13" s="1" t="s">
        <v>51</v>
      </c>
      <c r="C13">
        <v>996</v>
      </c>
    </row>
    <row r="14" spans="1:3" x14ac:dyDescent="0.25">
      <c r="A14">
        <v>13</v>
      </c>
      <c r="B14" s="1" t="s">
        <v>52</v>
      </c>
      <c r="C14">
        <v>998</v>
      </c>
    </row>
    <row r="15" spans="1:3" x14ac:dyDescent="0.25">
      <c r="A15">
        <v>14</v>
      </c>
      <c r="B15" s="1" t="s">
        <v>53</v>
      </c>
      <c r="C15">
        <v>998</v>
      </c>
    </row>
    <row r="16" spans="1:3" x14ac:dyDescent="0.25">
      <c r="A16">
        <v>15</v>
      </c>
      <c r="B16" s="1" t="s">
        <v>54</v>
      </c>
      <c r="C16">
        <v>998</v>
      </c>
    </row>
    <row r="35" spans="2:2" x14ac:dyDescent="0.25">
      <c r="B35" t="s">
        <v>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1BA74-3CDF-4628-A2E3-BA0E37200DBD}">
  <sheetPr codeName="Hoja3"/>
  <dimension ref="A1:D66"/>
  <sheetViews>
    <sheetView showGridLines="0" topLeftCell="A16" workbookViewId="0">
      <selection activeCell="J32" sqref="J32"/>
    </sheetView>
  </sheetViews>
  <sheetFormatPr baseColWidth="10" defaultRowHeight="15" x14ac:dyDescent="0.25"/>
  <sheetData>
    <row r="1" spans="1:4" x14ac:dyDescent="0.25">
      <c r="A1" s="5"/>
      <c r="B1" s="5"/>
      <c r="C1" s="5"/>
      <c r="D1" s="5"/>
    </row>
    <row r="2" spans="1:4" x14ac:dyDescent="0.25">
      <c r="A2" s="5"/>
      <c r="B2" s="5"/>
      <c r="C2" s="5"/>
      <c r="D2" s="5"/>
    </row>
    <row r="3" spans="1:4" x14ac:dyDescent="0.25">
      <c r="A3" s="5"/>
      <c r="B3" s="5"/>
      <c r="C3" s="5"/>
      <c r="D3" s="5"/>
    </row>
    <row r="4" spans="1:4" x14ac:dyDescent="0.25">
      <c r="A4" s="5"/>
      <c r="B4" s="5"/>
      <c r="C4" s="5"/>
      <c r="D4" s="5"/>
    </row>
    <row r="5" spans="1:4" x14ac:dyDescent="0.25">
      <c r="A5" s="5"/>
      <c r="B5" s="5"/>
      <c r="C5" s="5"/>
      <c r="D5" s="5"/>
    </row>
    <row r="6" spans="1:4" x14ac:dyDescent="0.25">
      <c r="A6" s="5"/>
      <c r="B6" s="5"/>
      <c r="C6" s="5"/>
      <c r="D6" s="5"/>
    </row>
    <row r="7" spans="1:4" x14ac:dyDescent="0.25">
      <c r="A7" s="5"/>
      <c r="B7" s="5"/>
      <c r="C7" s="5"/>
      <c r="D7" s="5"/>
    </row>
    <row r="8" spans="1:4" x14ac:dyDescent="0.25">
      <c r="A8" s="5"/>
      <c r="B8" s="5"/>
      <c r="C8" s="5"/>
      <c r="D8" s="5"/>
    </row>
    <row r="9" spans="1:4" x14ac:dyDescent="0.25">
      <c r="A9" s="5"/>
      <c r="B9" s="5"/>
      <c r="C9" s="5"/>
      <c r="D9" s="5"/>
    </row>
    <row r="10" spans="1:4" x14ac:dyDescent="0.25">
      <c r="A10" s="5"/>
      <c r="B10" s="5"/>
      <c r="C10" s="5"/>
      <c r="D10" s="5"/>
    </row>
    <row r="11" spans="1:4" x14ac:dyDescent="0.25">
      <c r="A11" s="5"/>
      <c r="B11" s="5"/>
      <c r="C11" s="5"/>
      <c r="D11" s="5"/>
    </row>
    <row r="12" spans="1:4" x14ac:dyDescent="0.25">
      <c r="A12" s="5"/>
      <c r="B12" s="5"/>
      <c r="C12" s="5"/>
      <c r="D12" s="5"/>
    </row>
    <row r="13" spans="1:4" x14ac:dyDescent="0.25">
      <c r="A13" s="5"/>
      <c r="B13" s="5"/>
      <c r="C13" s="5"/>
      <c r="D13" s="5"/>
    </row>
    <row r="14" spans="1:4" x14ac:dyDescent="0.25">
      <c r="A14" s="5"/>
      <c r="B14" s="5"/>
      <c r="C14" s="5"/>
      <c r="D14" s="5"/>
    </row>
    <row r="15" spans="1:4" x14ac:dyDescent="0.25">
      <c r="A15" s="5"/>
      <c r="B15" s="5"/>
      <c r="C15" s="5"/>
      <c r="D15" s="5"/>
    </row>
    <row r="16" spans="1:4" x14ac:dyDescent="0.25">
      <c r="A16" s="5"/>
      <c r="B16" s="5"/>
      <c r="C16" s="5"/>
      <c r="D16" s="5"/>
    </row>
    <row r="17" spans="1:4" x14ac:dyDescent="0.25">
      <c r="A17" s="5"/>
      <c r="B17" s="5"/>
      <c r="C17" s="5"/>
      <c r="D17" s="5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5"/>
    </row>
    <row r="21" spans="1:4" x14ac:dyDescent="0.25">
      <c r="A21" s="5"/>
      <c r="B21" s="5"/>
      <c r="C21" s="5"/>
      <c r="D21" s="5"/>
    </row>
    <row r="22" spans="1:4" x14ac:dyDescent="0.25">
      <c r="A22" s="5"/>
      <c r="B22" s="5"/>
      <c r="C22" s="5"/>
      <c r="D22" s="5"/>
    </row>
    <row r="23" spans="1:4" x14ac:dyDescent="0.25">
      <c r="A23" s="5"/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E2CD3-1307-443B-8959-40C9FF7BF672}">
  <sheetPr codeName="Hoja4"/>
  <dimension ref="A1:N42"/>
  <sheetViews>
    <sheetView topLeftCell="A10" workbookViewId="0">
      <selection activeCell="G11" sqref="G11"/>
    </sheetView>
  </sheetViews>
  <sheetFormatPr baseColWidth="10" defaultRowHeight="15" x14ac:dyDescent="0.25"/>
  <cols>
    <col min="1" max="1" width="17.5703125" bestFit="1" customWidth="1"/>
    <col min="2" max="2" width="20.42578125" bestFit="1" customWidth="1"/>
    <col min="4" max="4" width="17.5703125" bestFit="1" customWidth="1"/>
    <col min="5" max="5" width="20.42578125" bestFit="1" customWidth="1"/>
    <col min="7" max="7" width="17.5703125" bestFit="1" customWidth="1"/>
    <col min="8" max="8" width="20.42578125" bestFit="1" customWidth="1"/>
    <col min="10" max="10" width="17.5703125" bestFit="1" customWidth="1"/>
    <col min="11" max="11" width="20.42578125" bestFit="1" customWidth="1"/>
    <col min="13" max="13" width="17.5703125" bestFit="1" customWidth="1"/>
    <col min="14" max="14" width="20.42578125" bestFit="1" customWidth="1"/>
  </cols>
  <sheetData>
    <row r="1" spans="1:14" x14ac:dyDescent="0.25">
      <c r="A1" t="s">
        <v>82</v>
      </c>
      <c r="B1" t="s">
        <v>83</v>
      </c>
    </row>
    <row r="2" spans="1:14" x14ac:dyDescent="0.25">
      <c r="A2" t="str">
        <f>IF(B13="(Todas)","enero-diciembre",B13)</f>
        <v>(Varios elementos)</v>
      </c>
      <c r="B2">
        <f>IF(B12="(Todas)","2021-2023",B12)</f>
        <v>2021</v>
      </c>
    </row>
    <row r="3" spans="1:14" x14ac:dyDescent="0.25">
      <c r="A3" s="17" t="s">
        <v>56</v>
      </c>
      <c r="B3" s="17"/>
      <c r="C3" s="8"/>
    </row>
    <row r="4" spans="1:14" x14ac:dyDescent="0.25">
      <c r="A4" s="18">
        <f>COUNT(datos!A:A)</f>
        <v>55</v>
      </c>
      <c r="B4" s="18"/>
      <c r="C4" s="6"/>
    </row>
    <row r="5" spans="1:14" x14ac:dyDescent="0.25">
      <c r="C5" s="7"/>
    </row>
    <row r="11" spans="1:14" x14ac:dyDescent="0.25">
      <c r="G11" s="9" t="s">
        <v>67</v>
      </c>
      <c r="H11" s="10">
        <v>2021</v>
      </c>
      <c r="J11" s="9" t="s">
        <v>67</v>
      </c>
      <c r="K11" s="10">
        <v>2021</v>
      </c>
      <c r="M11" s="9" t="s">
        <v>67</v>
      </c>
      <c r="N11" s="10">
        <v>2021</v>
      </c>
    </row>
    <row r="12" spans="1:14" x14ac:dyDescent="0.25">
      <c r="A12" s="9" t="s">
        <v>67</v>
      </c>
      <c r="B12" s="10">
        <v>2021</v>
      </c>
      <c r="D12" s="9" t="s">
        <v>67</v>
      </c>
      <c r="E12" s="10">
        <v>2021</v>
      </c>
      <c r="G12" s="9" t="s">
        <v>68</v>
      </c>
      <c r="H12" t="s">
        <v>80</v>
      </c>
      <c r="J12" s="9" t="s">
        <v>68</v>
      </c>
      <c r="K12" t="s">
        <v>80</v>
      </c>
      <c r="M12" s="9" t="s">
        <v>68</v>
      </c>
      <c r="N12" t="s">
        <v>80</v>
      </c>
    </row>
    <row r="13" spans="1:14" x14ac:dyDescent="0.25">
      <c r="A13" s="9" t="s">
        <v>68</v>
      </c>
      <c r="B13" t="s">
        <v>80</v>
      </c>
      <c r="D13" s="9" t="s">
        <v>68</v>
      </c>
      <c r="E13" t="s">
        <v>80</v>
      </c>
      <c r="G13" s="9" t="s">
        <v>9</v>
      </c>
      <c r="H13" t="s">
        <v>24</v>
      </c>
      <c r="J13" s="9" t="s">
        <v>9</v>
      </c>
      <c r="K13" t="s">
        <v>17</v>
      </c>
      <c r="M13" s="9" t="s">
        <v>9</v>
      </c>
      <c r="N13" t="s">
        <v>81</v>
      </c>
    </row>
    <row r="14" spans="1:14" x14ac:dyDescent="0.25">
      <c r="A14" s="19" t="s">
        <v>57</v>
      </c>
      <c r="B14" s="19"/>
      <c r="C14" s="19"/>
      <c r="D14" s="19"/>
      <c r="E14" s="19"/>
    </row>
    <row r="15" spans="1:14" x14ac:dyDescent="0.25">
      <c r="A15" s="9" t="s">
        <v>58</v>
      </c>
      <c r="B15" t="s">
        <v>59</v>
      </c>
      <c r="D15" s="9" t="s">
        <v>58</v>
      </c>
      <c r="E15" t="s">
        <v>62</v>
      </c>
      <c r="G15" s="9" t="s">
        <v>58</v>
      </c>
      <c r="H15" t="s">
        <v>59</v>
      </c>
      <c r="J15" s="9" t="s">
        <v>58</v>
      </c>
      <c r="K15" t="s">
        <v>59</v>
      </c>
      <c r="M15" s="9" t="s">
        <v>58</v>
      </c>
      <c r="N15" t="s">
        <v>59</v>
      </c>
    </row>
    <row r="16" spans="1:14" x14ac:dyDescent="0.25">
      <c r="A16" s="10" t="s">
        <v>26</v>
      </c>
      <c r="B16" s="1">
        <v>1</v>
      </c>
      <c r="D16" s="10" t="s">
        <v>26</v>
      </c>
      <c r="E16" s="21">
        <v>120200</v>
      </c>
      <c r="G16" s="10" t="s">
        <v>37</v>
      </c>
      <c r="H16" s="1">
        <v>1</v>
      </c>
      <c r="J16" s="10" t="s">
        <v>37</v>
      </c>
      <c r="K16" s="1">
        <v>4</v>
      </c>
      <c r="M16" s="10" t="s">
        <v>37</v>
      </c>
      <c r="N16" s="1">
        <v>5</v>
      </c>
    </row>
    <row r="17" spans="1:14" x14ac:dyDescent="0.25">
      <c r="A17" s="10" t="s">
        <v>35</v>
      </c>
      <c r="B17" s="1">
        <v>1</v>
      </c>
      <c r="D17" s="10" t="s">
        <v>35</v>
      </c>
      <c r="E17" s="21">
        <v>185550</v>
      </c>
      <c r="G17" s="10" t="s">
        <v>28</v>
      </c>
      <c r="H17" s="1">
        <v>1</v>
      </c>
      <c r="J17" s="10" t="s">
        <v>15</v>
      </c>
      <c r="K17" s="1">
        <v>1</v>
      </c>
      <c r="M17" s="10" t="s">
        <v>15</v>
      </c>
      <c r="N17" s="1">
        <v>1</v>
      </c>
    </row>
    <row r="18" spans="1:14" x14ac:dyDescent="0.25">
      <c r="A18" s="10" t="s">
        <v>20</v>
      </c>
      <c r="B18" s="1">
        <v>5</v>
      </c>
      <c r="D18" s="10" t="s">
        <v>61</v>
      </c>
      <c r="E18" s="21">
        <v>250000</v>
      </c>
      <c r="G18" s="10" t="s">
        <v>22</v>
      </c>
      <c r="H18" s="1">
        <v>5</v>
      </c>
      <c r="J18" s="10" t="s">
        <v>28</v>
      </c>
      <c r="K18" s="1">
        <v>1</v>
      </c>
      <c r="M18" s="10" t="s">
        <v>28</v>
      </c>
      <c r="N18" s="1">
        <v>2</v>
      </c>
    </row>
    <row r="19" spans="1:14" x14ac:dyDescent="0.25">
      <c r="A19" s="10" t="s">
        <v>13</v>
      </c>
      <c r="B19" s="1">
        <v>6</v>
      </c>
      <c r="D19" s="10" t="s">
        <v>20</v>
      </c>
      <c r="E19" s="21">
        <v>1320150</v>
      </c>
      <c r="J19" s="10" t="s">
        <v>32</v>
      </c>
      <c r="K19" s="1">
        <v>1</v>
      </c>
      <c r="M19" s="10" t="s">
        <v>22</v>
      </c>
      <c r="N19" s="1">
        <v>5</v>
      </c>
    </row>
    <row r="20" spans="1:14" x14ac:dyDescent="0.25">
      <c r="A20" s="10" t="s">
        <v>61</v>
      </c>
      <c r="B20" s="1">
        <v>1</v>
      </c>
      <c r="D20" s="10" t="s">
        <v>13</v>
      </c>
      <c r="E20" s="21">
        <v>3011352</v>
      </c>
      <c r="M20" s="10" t="s">
        <v>32</v>
      </c>
      <c r="N20" s="1">
        <v>1</v>
      </c>
    </row>
    <row r="26" spans="1:14" x14ac:dyDescent="0.25">
      <c r="A26" s="11" t="s">
        <v>63</v>
      </c>
      <c r="D26" s="11" t="s">
        <v>65</v>
      </c>
    </row>
    <row r="27" spans="1:14" x14ac:dyDescent="0.25">
      <c r="A27" s="12" t="str">
        <f>INDEX(A16:A20, MATCH(MAX(B16:B20),B16:B20, 0))</f>
        <v>Pablo Suarez</v>
      </c>
      <c r="D27" s="12" t="str">
        <f>INDEX(D16:D20, MATCH(MAX(E16:E20),E16:E20, 0))</f>
        <v>Pablo Suarez</v>
      </c>
    </row>
    <row r="28" spans="1:14" x14ac:dyDescent="0.25">
      <c r="A28" s="11" t="s">
        <v>64</v>
      </c>
      <c r="D28" s="11" t="s">
        <v>66</v>
      </c>
    </row>
    <row r="29" spans="1:14" x14ac:dyDescent="0.25">
      <c r="A29" s="12" t="str">
        <f>INDEX(A18:A22, MATCH(MIN(B18:B22),B18:B22, 0))</f>
        <v>Maria Peralta</v>
      </c>
      <c r="D29" s="12" t="str">
        <f>INDEX(D16:D20, MATCH(MIN(E16:E20),E16:E20, 0))</f>
        <v>Diego Gonzales</v>
      </c>
    </row>
    <row r="33" spans="1:5" x14ac:dyDescent="0.25">
      <c r="A33" t="s">
        <v>55</v>
      </c>
      <c r="E33" t="s">
        <v>55</v>
      </c>
    </row>
    <row r="34" spans="1:5" x14ac:dyDescent="0.25">
      <c r="A34" s="14" t="s">
        <v>76</v>
      </c>
      <c r="B34" s="13">
        <f>SUM(N16:N20)</f>
        <v>14</v>
      </c>
    </row>
    <row r="35" spans="1:5" x14ac:dyDescent="0.25">
      <c r="A35" s="14" t="s">
        <v>77</v>
      </c>
      <c r="B35" s="13">
        <f>SUM(H16:H20)</f>
        <v>7</v>
      </c>
    </row>
    <row r="36" spans="1:5" x14ac:dyDescent="0.25">
      <c r="A36" s="14" t="s">
        <v>78</v>
      </c>
      <c r="B36" s="13">
        <f>SUM(K16:K20)</f>
        <v>7</v>
      </c>
    </row>
    <row r="38" spans="1:5" x14ac:dyDescent="0.25">
      <c r="A38" s="16" t="str">
        <f>G16</f>
        <v>alta</v>
      </c>
      <c r="B38" s="13">
        <f>H16</f>
        <v>1</v>
      </c>
    </row>
    <row r="39" spans="1:5" x14ac:dyDescent="0.25">
      <c r="A39" s="16" t="str">
        <f t="shared" ref="A39:A42" si="0">G17</f>
        <v>modif</v>
      </c>
      <c r="B39" s="13">
        <f t="shared" ref="B39:B42" si="1">H17</f>
        <v>1</v>
      </c>
    </row>
    <row r="40" spans="1:5" x14ac:dyDescent="0.25">
      <c r="A40" s="16" t="str">
        <f t="shared" si="0"/>
        <v>rinst</v>
      </c>
      <c r="B40" s="13">
        <f t="shared" si="1"/>
        <v>5</v>
      </c>
    </row>
    <row r="41" spans="1:5" x14ac:dyDescent="0.25">
      <c r="A41" s="16">
        <f t="shared" si="0"/>
        <v>0</v>
      </c>
      <c r="B41" s="13">
        <f t="shared" si="1"/>
        <v>0</v>
      </c>
    </row>
    <row r="42" spans="1:5" x14ac:dyDescent="0.25">
      <c r="A42" s="16">
        <f t="shared" si="0"/>
        <v>0</v>
      </c>
      <c r="B42" s="13">
        <f t="shared" si="1"/>
        <v>0</v>
      </c>
    </row>
  </sheetData>
  <mergeCells count="3">
    <mergeCell ref="A3:B3"/>
    <mergeCell ref="A4:B4"/>
    <mergeCell ref="A14:E14"/>
  </mergeCells>
  <pageMargins left="0.7" right="0.7" top="0.75" bottom="0.75" header="0.3" footer="0.3"/>
  <pageSetup paperSize="9" orientation="portrait" horizontalDpi="360" verticalDpi="360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1FCD7-8657-4333-9854-800F006900EE}">
  <sheetPr codeName="Hoja5"/>
  <dimension ref="A1:D66"/>
  <sheetViews>
    <sheetView showGridLines="0" tabSelected="1" workbookViewId="0">
      <selection activeCell="E33" sqref="E33"/>
    </sheetView>
  </sheetViews>
  <sheetFormatPr baseColWidth="10" defaultRowHeight="15" x14ac:dyDescent="0.25"/>
  <sheetData>
    <row r="1" spans="1:4" x14ac:dyDescent="0.25">
      <c r="A1" s="5"/>
      <c r="B1" s="5"/>
      <c r="C1" s="5"/>
      <c r="D1" s="5"/>
    </row>
    <row r="2" spans="1:4" x14ac:dyDescent="0.25">
      <c r="A2" s="5"/>
      <c r="B2" s="5"/>
      <c r="C2" s="5"/>
      <c r="D2" s="5"/>
    </row>
    <row r="3" spans="1:4" x14ac:dyDescent="0.25">
      <c r="A3" s="5"/>
      <c r="B3" s="5"/>
      <c r="C3" s="5"/>
      <c r="D3" s="5"/>
    </row>
    <row r="4" spans="1:4" x14ac:dyDescent="0.25">
      <c r="A4" s="5"/>
      <c r="B4" s="5"/>
      <c r="C4" s="5"/>
      <c r="D4" s="5"/>
    </row>
    <row r="5" spans="1:4" x14ac:dyDescent="0.25">
      <c r="A5" s="5"/>
      <c r="B5" s="5"/>
      <c r="C5" s="5"/>
      <c r="D5" s="5"/>
    </row>
    <row r="6" spans="1:4" x14ac:dyDescent="0.25">
      <c r="A6" s="5"/>
      <c r="B6" s="5"/>
      <c r="C6" s="5"/>
      <c r="D6" s="5"/>
    </row>
    <row r="7" spans="1:4" x14ac:dyDescent="0.25">
      <c r="A7" s="5"/>
      <c r="B7" s="5"/>
      <c r="C7" s="5"/>
      <c r="D7" s="5"/>
    </row>
    <row r="8" spans="1:4" x14ac:dyDescent="0.25">
      <c r="A8" s="5"/>
      <c r="B8" s="5"/>
      <c r="C8" s="5"/>
      <c r="D8" s="5"/>
    </row>
    <row r="9" spans="1:4" x14ac:dyDescent="0.25">
      <c r="A9" s="5"/>
      <c r="B9" s="5"/>
      <c r="C9" s="5"/>
      <c r="D9" s="5"/>
    </row>
    <row r="10" spans="1:4" x14ac:dyDescent="0.25">
      <c r="A10" s="5"/>
      <c r="B10" s="5"/>
      <c r="C10" s="5"/>
      <c r="D10" s="5"/>
    </row>
    <row r="11" spans="1:4" x14ac:dyDescent="0.25">
      <c r="A11" s="5"/>
      <c r="B11" s="5"/>
      <c r="C11" s="5"/>
      <c r="D11" s="5"/>
    </row>
    <row r="12" spans="1:4" x14ac:dyDescent="0.25">
      <c r="A12" s="5"/>
      <c r="B12" s="5"/>
      <c r="C12" s="5"/>
      <c r="D12" s="5"/>
    </row>
    <row r="13" spans="1:4" x14ac:dyDescent="0.25">
      <c r="A13" s="5"/>
      <c r="B13" s="5"/>
      <c r="C13" s="5"/>
      <c r="D13" s="5"/>
    </row>
    <row r="14" spans="1:4" x14ac:dyDescent="0.25">
      <c r="A14" s="5"/>
      <c r="B14" s="5"/>
      <c r="C14" s="5"/>
      <c r="D14" s="5"/>
    </row>
    <row r="15" spans="1:4" x14ac:dyDescent="0.25">
      <c r="A15" s="5"/>
      <c r="B15" s="5"/>
      <c r="C15" s="5"/>
      <c r="D15" s="5"/>
    </row>
    <row r="16" spans="1:4" x14ac:dyDescent="0.25">
      <c r="A16" s="5"/>
      <c r="B16" s="5"/>
      <c r="C16" s="5"/>
      <c r="D16" s="5"/>
    </row>
    <row r="17" spans="1:4" x14ac:dyDescent="0.25">
      <c r="A17" s="5"/>
      <c r="B17" s="5"/>
      <c r="C17" s="5"/>
      <c r="D17" s="5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5"/>
    </row>
    <row r="21" spans="1:4" x14ac:dyDescent="0.25">
      <c r="A21" s="5"/>
      <c r="B21" s="5"/>
      <c r="C21" s="5"/>
      <c r="D21" s="5"/>
    </row>
    <row r="22" spans="1:4" x14ac:dyDescent="0.25">
      <c r="A22" s="5"/>
      <c r="B22" s="5"/>
      <c r="C22" s="5"/>
      <c r="D22" s="5"/>
    </row>
    <row r="23" spans="1:4" x14ac:dyDescent="0.25">
      <c r="A23" s="5"/>
      <c r="B23" s="5"/>
      <c r="C23" s="5"/>
      <c r="D23" s="5"/>
    </row>
    <row r="24" spans="1:4" x14ac:dyDescent="0.25">
      <c r="A24" s="5"/>
      <c r="B24" s="5"/>
      <c r="C24" s="5"/>
      <c r="D24" s="5"/>
    </row>
    <row r="25" spans="1:4" x14ac:dyDescent="0.25">
      <c r="A25" s="5"/>
      <c r="B25" s="5"/>
      <c r="C25" s="5"/>
      <c r="D25" s="5"/>
    </row>
    <row r="26" spans="1:4" x14ac:dyDescent="0.25">
      <c r="A26" s="5"/>
      <c r="B26" s="5"/>
      <c r="C26" s="5"/>
      <c r="D26" s="5"/>
    </row>
    <row r="27" spans="1:4" x14ac:dyDescent="0.25">
      <c r="A27" s="5"/>
      <c r="B27" s="5"/>
      <c r="C27" s="5"/>
      <c r="D27" s="5"/>
    </row>
    <row r="28" spans="1:4" x14ac:dyDescent="0.25">
      <c r="A28" s="5"/>
      <c r="B28" s="5"/>
      <c r="C28" s="5"/>
      <c r="D28" s="5"/>
    </row>
    <row r="29" spans="1:4" x14ac:dyDescent="0.25">
      <c r="A29" s="5"/>
      <c r="B29" s="5"/>
      <c r="C29" s="5"/>
      <c r="D29" s="5"/>
    </row>
    <row r="30" spans="1:4" x14ac:dyDescent="0.25">
      <c r="A30" s="5"/>
      <c r="B30" s="5"/>
      <c r="C30" s="5"/>
      <c r="D30" s="5"/>
    </row>
    <row r="31" spans="1:4" x14ac:dyDescent="0.25">
      <c r="A31" s="5"/>
      <c r="B31" s="5"/>
      <c r="C31" s="5"/>
      <c r="D31" s="5"/>
    </row>
    <row r="32" spans="1:4" x14ac:dyDescent="0.25">
      <c r="A32" s="5"/>
      <c r="B32" s="5"/>
      <c r="C32" s="5"/>
      <c r="D32" s="5"/>
    </row>
    <row r="33" spans="1:4" x14ac:dyDescent="0.25">
      <c r="A33" s="5"/>
      <c r="B33" s="5"/>
      <c r="C33" s="5"/>
      <c r="D33" s="5"/>
    </row>
    <row r="34" spans="1:4" x14ac:dyDescent="0.25">
      <c r="A34" s="5"/>
      <c r="B34" s="5"/>
      <c r="C34" s="5"/>
      <c r="D34" s="5"/>
    </row>
    <row r="35" spans="1:4" x14ac:dyDescent="0.25">
      <c r="A35" s="5"/>
      <c r="B35" s="5"/>
      <c r="C35" s="5"/>
      <c r="D35" s="5"/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AE7C8-D517-438D-8CD0-2ADB84E77FD4}">
  <sheetPr codeName="Hoja6"/>
  <dimension ref="A6:K34"/>
  <sheetViews>
    <sheetView topLeftCell="A7" zoomScale="130" zoomScaleNormal="130" workbookViewId="0">
      <selection activeCell="G19" sqref="G19"/>
    </sheetView>
  </sheetViews>
  <sheetFormatPr baseColWidth="10" defaultRowHeight="15" x14ac:dyDescent="0.25"/>
  <cols>
    <col min="1" max="1" width="14.85546875" bestFit="1" customWidth="1"/>
    <col min="2" max="2" width="12.85546875" bestFit="1" customWidth="1"/>
    <col min="4" max="4" width="3" customWidth="1"/>
    <col min="8" max="8" width="2.42578125" customWidth="1"/>
  </cols>
  <sheetData>
    <row r="6" spans="1:2" x14ac:dyDescent="0.25">
      <c r="A6" s="14" t="s">
        <v>69</v>
      </c>
      <c r="B6" s="14" t="s">
        <v>70</v>
      </c>
    </row>
    <row r="7" spans="1:2" x14ac:dyDescent="0.25">
      <c r="A7" s="15">
        <v>0.1</v>
      </c>
      <c r="B7" s="13">
        <v>1</v>
      </c>
    </row>
    <row r="8" spans="1:2" x14ac:dyDescent="0.25">
      <c r="A8" s="15">
        <v>0.2</v>
      </c>
      <c r="B8" s="13">
        <v>1</v>
      </c>
    </row>
    <row r="9" spans="1:2" x14ac:dyDescent="0.25">
      <c r="A9" s="15">
        <v>0.3</v>
      </c>
      <c r="B9" s="13">
        <v>1</v>
      </c>
    </row>
    <row r="10" spans="1:2" x14ac:dyDescent="0.25">
      <c r="A10" s="15">
        <v>0.4</v>
      </c>
      <c r="B10" s="13">
        <v>1</v>
      </c>
    </row>
    <row r="11" spans="1:2" x14ac:dyDescent="0.25">
      <c r="A11" s="15">
        <v>0.5</v>
      </c>
      <c r="B11" s="13">
        <v>1</v>
      </c>
    </row>
    <row r="12" spans="1:2" x14ac:dyDescent="0.25">
      <c r="A12" s="15">
        <v>0.6</v>
      </c>
      <c r="B12" s="13">
        <v>1</v>
      </c>
    </row>
    <row r="13" spans="1:2" x14ac:dyDescent="0.25">
      <c r="A13" s="15">
        <v>0.7</v>
      </c>
      <c r="B13" s="13">
        <v>1</v>
      </c>
    </row>
    <row r="14" spans="1:2" x14ac:dyDescent="0.25">
      <c r="A14" s="15">
        <v>0.8</v>
      </c>
      <c r="B14" s="13">
        <v>1</v>
      </c>
    </row>
    <row r="15" spans="1:2" x14ac:dyDescent="0.25">
      <c r="A15" s="15">
        <v>0.9</v>
      </c>
      <c r="B15" s="13">
        <v>1</v>
      </c>
    </row>
    <row r="16" spans="1:2" x14ac:dyDescent="0.25">
      <c r="A16" s="15">
        <v>1</v>
      </c>
      <c r="B16" s="13">
        <v>1</v>
      </c>
    </row>
    <row r="17" spans="1:11" x14ac:dyDescent="0.25">
      <c r="A17" s="13"/>
      <c r="B17" s="13">
        <v>10</v>
      </c>
    </row>
    <row r="18" spans="1:11" x14ac:dyDescent="0.25">
      <c r="A18" s="14" t="s">
        <v>71</v>
      </c>
      <c r="B18" s="13">
        <f>C18*PI()</f>
        <v>1.5707963267948966</v>
      </c>
      <c r="C18" s="15">
        <f>ANALISIS!B35/ANALISIS!B34</f>
        <v>0.5</v>
      </c>
    </row>
    <row r="19" spans="1:11" x14ac:dyDescent="0.25">
      <c r="A19" s="14"/>
      <c r="B19" s="13" t="s">
        <v>72</v>
      </c>
      <c r="C19" s="13" t="s">
        <v>73</v>
      </c>
    </row>
    <row r="20" spans="1:11" x14ac:dyDescent="0.25">
      <c r="A20" s="14" t="s">
        <v>75</v>
      </c>
      <c r="B20" s="13">
        <v>0</v>
      </c>
      <c r="C20" s="13">
        <v>0</v>
      </c>
    </row>
    <row r="21" spans="1:11" x14ac:dyDescent="0.25">
      <c r="A21" s="14" t="s">
        <v>74</v>
      </c>
      <c r="B21" s="13">
        <f>COS(B18)*-1</f>
        <v>-6.1257422745431001E-17</v>
      </c>
      <c r="C21" s="13">
        <f>SIN(B18)</f>
        <v>1</v>
      </c>
    </row>
    <row r="24" spans="1:11" x14ac:dyDescent="0.25">
      <c r="A24" s="20" t="s">
        <v>79</v>
      </c>
      <c r="B24" s="20"/>
      <c r="C24" s="20"/>
      <c r="E24" s="20" t="str">
        <f>ANALISIS!A39</f>
        <v>modif</v>
      </c>
      <c r="F24" s="20"/>
      <c r="G24" s="20"/>
      <c r="I24" s="20" t="str">
        <f>ANALISIS!A40</f>
        <v>rinst</v>
      </c>
      <c r="J24" s="20"/>
      <c r="K24" s="20"/>
    </row>
    <row r="25" spans="1:11" x14ac:dyDescent="0.25">
      <c r="A25" s="14" t="s">
        <v>71</v>
      </c>
      <c r="B25" s="13">
        <f>C25*PI()</f>
        <v>0.44879895051282759</v>
      </c>
      <c r="C25" s="15">
        <f>ANALISIS!B38/ANALISIS!B35</f>
        <v>0.14285714285714285</v>
      </c>
      <c r="E25" s="14" t="s">
        <v>71</v>
      </c>
      <c r="F25" s="13">
        <f>G25*PI()</f>
        <v>0.44879895051282759</v>
      </c>
      <c r="G25" s="15">
        <f>IFERROR(ANALISIS!B39/ANALISIS!B35,0)</f>
        <v>0.14285714285714285</v>
      </c>
      <c r="I25" s="14" t="s">
        <v>71</v>
      </c>
      <c r="J25" s="13">
        <f>K25*PI()</f>
        <v>2.2439947525641379</v>
      </c>
      <c r="K25" s="15">
        <f>ANALISIS!B40/ANALISIS!B35</f>
        <v>0.7142857142857143</v>
      </c>
    </row>
    <row r="26" spans="1:11" x14ac:dyDescent="0.25">
      <c r="A26" s="14"/>
      <c r="B26" s="13" t="s">
        <v>72</v>
      </c>
      <c r="C26" s="13" t="s">
        <v>73</v>
      </c>
      <c r="E26" s="14"/>
      <c r="F26" s="13" t="s">
        <v>72</v>
      </c>
      <c r="G26" s="13" t="s">
        <v>73</v>
      </c>
      <c r="I26" s="14"/>
      <c r="J26" s="13" t="s">
        <v>72</v>
      </c>
      <c r="K26" s="13" t="s">
        <v>73</v>
      </c>
    </row>
    <row r="27" spans="1:11" x14ac:dyDescent="0.25">
      <c r="A27" s="14" t="s">
        <v>75</v>
      </c>
      <c r="B27" s="13">
        <v>0</v>
      </c>
      <c r="C27" s="13">
        <v>0</v>
      </c>
      <c r="E27" s="14" t="s">
        <v>75</v>
      </c>
      <c r="F27" s="13">
        <v>0</v>
      </c>
      <c r="G27" s="13">
        <v>0</v>
      </c>
      <c r="I27" s="14" t="s">
        <v>75</v>
      </c>
      <c r="J27" s="13">
        <v>0</v>
      </c>
      <c r="K27" s="13">
        <v>0</v>
      </c>
    </row>
    <row r="28" spans="1:11" x14ac:dyDescent="0.25">
      <c r="A28" s="14" t="s">
        <v>74</v>
      </c>
      <c r="B28" s="13">
        <f>COS(B25)*-1</f>
        <v>-0.90096886790241915</v>
      </c>
      <c r="C28" s="13">
        <f>SIN(B25)</f>
        <v>0.43388373911755812</v>
      </c>
      <c r="E28" s="14" t="s">
        <v>74</v>
      </c>
      <c r="F28" s="13">
        <f>COS(F25)*-1</f>
        <v>-0.90096886790241915</v>
      </c>
      <c r="G28" s="13">
        <f>SIN(F25)</f>
        <v>0.43388373911755812</v>
      </c>
      <c r="I28" s="14" t="s">
        <v>74</v>
      </c>
      <c r="J28" s="13">
        <f>COS(J25)*-1</f>
        <v>0.62348980185873348</v>
      </c>
      <c r="K28" s="13">
        <f>SIN(J25)</f>
        <v>0.78183148246802991</v>
      </c>
    </row>
    <row r="30" spans="1:11" x14ac:dyDescent="0.25">
      <c r="A30" s="20">
        <f>ANALISIS!A41</f>
        <v>0</v>
      </c>
      <c r="B30" s="20"/>
      <c r="C30" s="20"/>
      <c r="E30" s="20">
        <f>ANALISIS!A42</f>
        <v>0</v>
      </c>
      <c r="F30" s="20"/>
      <c r="G30" s="20"/>
    </row>
    <row r="31" spans="1:11" x14ac:dyDescent="0.25">
      <c r="A31" s="14" t="s">
        <v>71</v>
      </c>
      <c r="B31" s="13">
        <f>C31*PI()</f>
        <v>0</v>
      </c>
      <c r="C31" s="15">
        <f>ANALISIS!B41/ANALISIS!B35</f>
        <v>0</v>
      </c>
      <c r="E31" s="14" t="s">
        <v>71</v>
      </c>
      <c r="F31" s="13">
        <f>G31*PI()</f>
        <v>0</v>
      </c>
      <c r="G31" s="15">
        <f>ANALISIS!B42/ANALISIS!B35</f>
        <v>0</v>
      </c>
    </row>
    <row r="32" spans="1:11" x14ac:dyDescent="0.25">
      <c r="A32" s="14"/>
      <c r="B32" s="13" t="s">
        <v>72</v>
      </c>
      <c r="C32" s="13" t="s">
        <v>73</v>
      </c>
      <c r="E32" s="14"/>
      <c r="F32" s="13" t="s">
        <v>72</v>
      </c>
      <c r="G32" s="13" t="s">
        <v>73</v>
      </c>
    </row>
    <row r="33" spans="1:7" x14ac:dyDescent="0.25">
      <c r="A33" s="14" t="s">
        <v>75</v>
      </c>
      <c r="B33" s="13">
        <v>0</v>
      </c>
      <c r="C33" s="13">
        <v>0</v>
      </c>
      <c r="E33" s="14" t="s">
        <v>75</v>
      </c>
      <c r="F33" s="13">
        <v>0</v>
      </c>
      <c r="G33" s="13">
        <v>0</v>
      </c>
    </row>
    <row r="34" spans="1:7" x14ac:dyDescent="0.25">
      <c r="A34" s="14" t="s">
        <v>74</v>
      </c>
      <c r="B34" s="13">
        <f>COS(B31)*-1</f>
        <v>-1</v>
      </c>
      <c r="C34" s="13">
        <f>SIN(B31)</f>
        <v>0</v>
      </c>
      <c r="E34" s="14" t="s">
        <v>74</v>
      </c>
      <c r="F34" s="13">
        <f>COS(F31)*-1</f>
        <v>-1</v>
      </c>
      <c r="G34" s="13">
        <f>SIN(F31)</f>
        <v>0</v>
      </c>
    </row>
  </sheetData>
  <mergeCells count="5">
    <mergeCell ref="A24:C24"/>
    <mergeCell ref="E24:G24"/>
    <mergeCell ref="A30:C30"/>
    <mergeCell ref="E30:G30"/>
    <mergeCell ref="I24:K2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9F914C-51BB-46FE-9695-A7C7276DB8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stockmateriales</vt:lpstr>
      <vt:lpstr>DASHBOARD</vt:lpstr>
      <vt:lpstr>ANALISIS</vt:lpstr>
      <vt:lpstr>KPI</vt:lpstr>
      <vt:lpstr>ANALISIS-KPI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2024-01-27T20:24:50Z</dcterms:created>
  <dcterms:modified xsi:type="dcterms:W3CDTF">2024-02-07T01:18:16Z</dcterms:modified>
</cp:coreProperties>
</file>